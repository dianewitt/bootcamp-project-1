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dd2e462c9de83c/Documents/GitHub/0.0 Projects/Project 1/Project_1_Group_3/Data/"/>
    </mc:Choice>
  </mc:AlternateContent>
  <xr:revisionPtr revIDLastSave="46" documentId="13_ncr:40009_{9EA515D9-E7B1-4506-89E4-2E96B3264CEA}" xr6:coauthVersionLast="45" xr6:coauthVersionMax="45" xr10:uidLastSave="{70553D05-7994-4EC0-AB61-EA7DAA22AA76}"/>
  <bookViews>
    <workbookView xWindow="-98" yWindow="-98" windowWidth="28996" windowHeight="15796" activeTab="1" xr2:uid="{00000000-000D-0000-FFFF-FFFF00000000}"/>
  </bookViews>
  <sheets>
    <sheet name="NYTimes_ReOpen_Date" sheetId="1" r:id="rId1"/>
    <sheet name="Sheet1" sheetId="2" r:id="rId2"/>
  </sheets>
  <definedNames>
    <definedName name="_xlchart.v2.0" hidden="1">NYTimes_ReOpen_Date!$A$2:$A$17</definedName>
    <definedName name="_xlchart.v2.1" hidden="1">NYTimes_ReOpen_Date!$B$2:$B$17</definedName>
    <definedName name="_xlchart.v2.2" hidden="1">NYTimes_ReOpen_Date!$A$2:$A$17</definedName>
    <definedName name="_xlchart.v2.3" hidden="1">NYTimes_ReOpen_Date!$B$2:$B$17</definedName>
    <definedName name="_xlchart.v2.4" hidden="1">NYTimes_ReOpen_Date!$A$2:$A$17</definedName>
    <definedName name="_xlchart.v2.5" hidden="1">NYTimes_ReOpen_Date!$B$2:$B$17</definedName>
    <definedName name="_xlchart.v2.6" hidden="1">NYTimes_ReOpen_Date!$A$2:$A$17</definedName>
    <definedName name="_xlchart.v2.7" hidden="1">NYTimes_ReOpen_Date!$B$2:$B$17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A24" i="1"/>
  <c r="B1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tc={41C0C7C8-1436-4FAE-8CC3-2F5BF2250B1C}</author>
  </authors>
  <commentList>
    <comment ref="G1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 = Open, 1 = Closed
Reply:
    Per NYT updated 10/16/2020</t>
      </text>
    </comment>
  </commentList>
</comments>
</file>

<file path=xl/sharedStrings.xml><?xml version="1.0" encoding="utf-8"?>
<sst xmlns="http://schemas.openxmlformats.org/spreadsheetml/2006/main" count="33" uniqueCount="33">
  <si>
    <t>State</t>
  </si>
  <si>
    <t>Shutdown Length</t>
  </si>
  <si>
    <t>National Shutdown Start  Date</t>
  </si>
  <si>
    <t>Reopen Date</t>
  </si>
  <si>
    <t>FIPS code</t>
  </si>
  <si>
    <t>Alaska</t>
  </si>
  <si>
    <t>Arkansas</t>
  </si>
  <si>
    <t>Colorado</t>
  </si>
  <si>
    <t>Connecticut</t>
  </si>
  <si>
    <t>Florida</t>
  </si>
  <si>
    <t>Illinois</t>
  </si>
  <si>
    <t>Kansas</t>
  </si>
  <si>
    <t>Kentucky</t>
  </si>
  <si>
    <t>Louisiana</t>
  </si>
  <si>
    <t>Massachusetts</t>
  </si>
  <si>
    <t>Missouri</t>
  </si>
  <si>
    <t>North Dakota</t>
  </si>
  <si>
    <t>Oregon</t>
  </si>
  <si>
    <t>Texas</t>
  </si>
  <si>
    <t>Virginia</t>
  </si>
  <si>
    <t>Wisconsin</t>
  </si>
  <si>
    <t>Retail</t>
  </si>
  <si>
    <t>Personal care</t>
  </si>
  <si>
    <t>Houses of worship</t>
  </si>
  <si>
    <t>Entertainment</t>
  </si>
  <si>
    <t>Outdoor and recreation</t>
  </si>
  <si>
    <t>Industries</t>
  </si>
  <si>
    <t>New York Time: See How All 50 States Are Reopening (and Closing Again)</t>
  </si>
  <si>
    <t>Reopened As of (per NYT)</t>
  </si>
  <si>
    <t>Food and drink: Restaurants</t>
  </si>
  <si>
    <t>Food and drink: Bars</t>
  </si>
  <si>
    <t>Entertainment: Ballrooms, stadiums and convention halls</t>
  </si>
  <si>
    <t>U.S. state and local government responses to the COVID-19 pandemic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</si>
</sst>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9" fillId="33" borderId="0" xfId="43" applyFont="1" applyFill="1" applyAlignment="1">
      <alignment wrapText="1"/>
    </xf>
    <xf numFmtId="43" fontId="0" fillId="0" borderId="0" xfId="1" applyFont="1"/>
    <xf numFmtId="43" fontId="18" fillId="0" borderId="10" xfId="43" applyNumberFormat="1" applyBorder="1" applyAlignment="1">
      <alignment horizontal="center" wrapText="1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2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C55A11"/>
      <color rgb="FFB4C7E7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_xlchart.v2.3</cx:f>
      </cx:numDim>
    </cx:data>
  </cx:chartData>
  <cx:chart>
    <cx:title pos="t" align="ctr" overlay="0">
      <cx:tx>
        <cx:txData>
          <cx:v>Shutdown Length (days)</cx:v>
        </cx:txData>
      </cx:tx>
      <cx:txPr>
        <a:bodyPr vertOverflow="overflow" horzOverflow="overflow" wrap="square" lIns="0" tIns="0" rIns="0" bIns="0"/>
        <a:lstStyle/>
        <a:p>
          <a:pPr algn="ctr" rtl="0">
            <a:defRPr sz="2000" b="1" i="0">
              <a:solidFill>
                <a:srgbClr val="595959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2000" b="1"/>
            <a:t>Shutdown Length (days)</a:t>
          </a:r>
        </a:p>
      </cx:txPr>
    </cx:title>
    <cx:plotArea>
      <cx:plotAreaRegion>
        <cx:series layoutId="funnel" uniqueId="{66A42134-6AD4-4F99-B1FA-D842AE72DF03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400" b="1">
                    <a:solidFill>
                      <a:schemeClr val="bg1"/>
                    </a:solidFill>
                  </a:defRPr>
                </a:pPr>
                <a:endParaRPr lang="en-US" sz="14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</cx:dataLabels>
          <cx:dataId val="0"/>
        </cx:series>
      </cx:plotAreaRegion>
      <cx:axis id="1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1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 b="1"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_xlchart.v2.6</cx:f>
      </cx:strDim>
      <cx:numDim type="val">
        <cx:f>_xlchart.v2.7</cx:f>
      </cx:numDim>
    </cx:data>
  </cx:chartData>
  <cx:chart>
    <cx:title pos="t" align="ctr" overlay="0">
      <cx:tx>
        <cx:txData>
          <cx:v>Shutdown Length (days)</cx:v>
        </cx:txData>
      </cx:tx>
      <cx:txPr>
        <a:bodyPr vertOverflow="overflow" horzOverflow="overflow" wrap="square" lIns="0" tIns="0" rIns="0" bIns="0"/>
        <a:lstStyle/>
        <a:p>
          <a:pPr algn="ctr" rtl="0">
            <a:defRPr sz="2000" b="1" i="0">
              <a:solidFill>
                <a:srgbClr val="595959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n-US" sz="2000" b="1"/>
            <a:t>Shutdown Length (days)</a:t>
          </a:r>
        </a:p>
      </cx:txPr>
    </cx:title>
    <cx:plotArea>
      <cx:plotAreaRegion>
        <cx:series layoutId="funnel" uniqueId="{66A42134-6AD4-4F99-B1FA-D842AE72DF03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400" b="1">
                    <a:solidFill>
                      <a:schemeClr val="bg1"/>
                    </a:solidFill>
                  </a:defRPr>
                </a:pPr>
                <a:endParaRPr lang="en-US" sz="14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</cx:dataLabels>
          <cx:dataId val="0"/>
        </cx:series>
      </cx:plotAreaRegion>
      <cx:axis id="0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1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 b="1"/>
          </a:p>
        </cx:txPr>
      </cx:axis>
    </cx:plotArea>
    <cx:legend pos="t" align="ctr" overlay="0"/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392906</xdr:colOff>
      <xdr:row>0</xdr:row>
      <xdr:rowOff>89295</xdr:rowOff>
    </xdr:from>
    <xdr:to>
      <xdr:col>20</xdr:col>
      <xdr:colOff>327422</xdr:colOff>
      <xdr:row>32</xdr:row>
      <xdr:rowOff>113109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48E1F0E-DD98-4E3A-843C-233DC966A6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68250" y="89295"/>
              <a:ext cx="6244828" cy="79176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647699</xdr:colOff>
      <xdr:row>1</xdr:row>
      <xdr:rowOff>0</xdr:rowOff>
    </xdr:from>
    <xdr:to>
      <xdr:col>10</xdr:col>
      <xdr:colOff>538162</xdr:colOff>
      <xdr:row>32</xdr:row>
      <xdr:rowOff>38100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C3212B0-913F-4226-AEC4-1C482FA961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7699" y="180975"/>
              <a:ext cx="6367463" cy="5648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iane Witt" id="{A7DB4B32-9C71-4B14-917A-3FEEBB983F95}" userId="bcdd2e462c9de83c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18" totalsRowCount="1" headerRowDxfId="27" dataDxfId="26">
  <autoFilter ref="A1:O17" xr:uid="{00000000-0009-0000-0100-000001000000}"/>
  <sortState xmlns:xlrd2="http://schemas.microsoft.com/office/spreadsheetml/2017/richdata2" ref="A2:O17">
    <sortCondition ref="B1:B17"/>
  </sortState>
  <tableColumns count="15">
    <tableColumn id="1" xr3:uid="{00000000-0010-0000-0000-000001000000}" name="State"/>
    <tableColumn id="2" xr3:uid="{00000000-0010-0000-0000-000002000000}" name="Shutdown Length" totalsRowFunction="average" dataDxfId="25" totalsRowDxfId="12"/>
    <tableColumn id="3" xr3:uid="{00000000-0010-0000-0000-000003000000}" name="National Shutdown Start  Date" dataDxfId="24" totalsRowDxfId="11"/>
    <tableColumn id="4" xr3:uid="{00000000-0010-0000-0000-000004000000}" name="Reopen Date" dataDxfId="23" totalsRowDxfId="10"/>
    <tableColumn id="5" xr3:uid="{00000000-0010-0000-0000-000005000000}" name="FIPS code" dataDxfId="22" totalsRowDxfId="9"/>
    <tableColumn id="6" xr3:uid="{00000000-0010-0000-0000-000006000000}" name="Reopened As of (per NYT)" dataDxfId="21" totalsRowDxfId="8"/>
    <tableColumn id="7" xr3:uid="{00000000-0010-0000-0000-000007000000}" name="Retail" dataDxfId="20" totalsRowDxfId="7"/>
    <tableColumn id="8" xr3:uid="{00000000-0010-0000-0000-000008000000}" name="Food and drink: Restaurants" dataDxfId="19" totalsRowDxfId="6"/>
    <tableColumn id="9" xr3:uid="{00000000-0010-0000-0000-000009000000}" name="Food and drink: Bars" dataDxfId="18" totalsRowDxfId="5"/>
    <tableColumn id="10" xr3:uid="{00000000-0010-0000-0000-00000A000000}" name="Personal care" dataDxfId="17" totalsRowDxfId="4"/>
    <tableColumn id="11" xr3:uid="{00000000-0010-0000-0000-00000B000000}" name="Houses of worship" dataDxfId="16" totalsRowDxfId="3"/>
    <tableColumn id="12" xr3:uid="{00000000-0010-0000-0000-00000C000000}" name="Entertainment" dataDxfId="15" totalsRowDxfId="2"/>
    <tableColumn id="13" xr3:uid="{00000000-0010-0000-0000-00000D000000}" name="Entertainment: Ballrooms, stadiums and convention halls" dataDxfId="14" totalsRowDxfId="1"/>
    <tableColumn id="14" xr3:uid="{00000000-0010-0000-0000-00000E000000}" name="Outdoor and recreation" dataDxfId="13" totalsRowDxfId="0"/>
    <tableColumn id="15" xr3:uid="{00000000-0010-0000-0000-00000F000000}" name="Industri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" dT="2020-10-17T15:58:38.17" personId="{A7DB4B32-9C71-4B14-917A-3FEEBB983F95}" id="{41C0C7C8-1436-4FAE-8CC3-2F5BF2250B1C}">
    <text>0 = Open, 1 = Closed</text>
  </threadedComment>
  <threadedComment ref="G1" dT="2020-10-17T16:25:54.52" personId="{A7DB4B32-9C71-4B14-917A-3FEEBB983F95}" id="{F79EDED9-727A-4AB3-BAE1-7894A08E7453}" parentId="{41C0C7C8-1436-4FAE-8CC3-2F5BF2250B1C}">
    <text>Per NYT updated 10/16/2020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https://en.wikipedia.org/wiki/U.S._state_and_local_government_responses_to_the_COVID-19_pandemic" TargetMode="External"/><Relationship Id="rId1" Type="http://schemas.openxmlformats.org/officeDocument/2006/relationships/hyperlink" Target="https://www.nytimes.com/interactive/2020/us/states-reopen-map-coronavirus.html" TargetMode="External"/><Relationship Id="rId6" Type="http://schemas.openxmlformats.org/officeDocument/2006/relationships/table" Target="../tables/table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24"/>
  <sheetViews>
    <sheetView showGridLines="0" zoomScale="80" zoomScaleNormal="80" workbookViewId="0">
      <selection activeCell="F27" sqref="F27"/>
    </sheetView>
  </sheetViews>
  <sheetFormatPr defaultColWidth="17.6640625" defaultRowHeight="14.25" x14ac:dyDescent="0.45"/>
  <cols>
    <col min="2" max="4" width="17.6640625" style="2"/>
    <col min="5" max="5" width="8.73046875" style="2" customWidth="1"/>
    <col min="6" max="6" width="13.6640625" style="2" bestFit="1" customWidth="1"/>
    <col min="7" max="14" width="8.73046875" style="2" customWidth="1"/>
    <col min="15" max="15" width="8.73046875" customWidth="1"/>
  </cols>
  <sheetData>
    <row r="1" spans="1:15" s="1" customFormat="1" ht="114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28</v>
      </c>
      <c r="G1" s="1" t="s">
        <v>21</v>
      </c>
      <c r="H1" s="1" t="s">
        <v>29</v>
      </c>
      <c r="I1" s="1" t="s">
        <v>30</v>
      </c>
      <c r="J1" s="1" t="s">
        <v>22</v>
      </c>
      <c r="K1" s="1" t="s">
        <v>23</v>
      </c>
      <c r="L1" s="1" t="s">
        <v>24</v>
      </c>
      <c r="M1" s="1" t="s">
        <v>31</v>
      </c>
      <c r="N1" s="1" t="s">
        <v>25</v>
      </c>
      <c r="O1" s="1" t="s">
        <v>26</v>
      </c>
    </row>
    <row r="2" spans="1:15" x14ac:dyDescent="0.45">
      <c r="A2" t="s">
        <v>5</v>
      </c>
      <c r="B2" s="2">
        <f>Table1[[#This Row],[Reopen Date]]-Table1[[#This Row],[National Shutdown Start  Date]]</f>
        <v>27</v>
      </c>
      <c r="C2" s="3">
        <v>43918</v>
      </c>
      <c r="D2" s="3">
        <v>43945</v>
      </c>
      <c r="E2" s="2">
        <v>2</v>
      </c>
      <c r="F2" s="3">
        <v>44120</v>
      </c>
      <c r="G2" s="2">
        <v>0</v>
      </c>
      <c r="H2" s="2">
        <v>0</v>
      </c>
      <c r="J2" s="2">
        <v>0</v>
      </c>
      <c r="K2" s="2">
        <v>0</v>
      </c>
      <c r="L2" s="2">
        <v>0</v>
      </c>
      <c r="N2" s="2">
        <v>0</v>
      </c>
    </row>
    <row r="3" spans="1:15" x14ac:dyDescent="0.45">
      <c r="A3" t="s">
        <v>7</v>
      </c>
      <c r="B3" s="2">
        <v>45</v>
      </c>
      <c r="C3" s="3">
        <v>43916</v>
      </c>
      <c r="D3" s="3">
        <v>43948</v>
      </c>
      <c r="E3" s="2">
        <v>8</v>
      </c>
      <c r="F3" s="3">
        <v>44120</v>
      </c>
      <c r="G3" s="2">
        <v>0</v>
      </c>
      <c r="H3" s="2">
        <v>0</v>
      </c>
      <c r="J3" s="2">
        <v>0</v>
      </c>
      <c r="K3" s="2">
        <v>0</v>
      </c>
      <c r="L3" s="2">
        <v>0</v>
      </c>
      <c r="N3" s="2">
        <v>0</v>
      </c>
      <c r="O3" s="2">
        <v>0</v>
      </c>
    </row>
    <row r="4" spans="1:15" x14ac:dyDescent="0.45">
      <c r="A4" t="s">
        <v>16</v>
      </c>
      <c r="B4" s="2">
        <v>49</v>
      </c>
      <c r="C4" s="3"/>
      <c r="D4" s="3">
        <v>43952</v>
      </c>
      <c r="E4" s="2">
        <v>38</v>
      </c>
      <c r="F4" s="3">
        <v>44120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N4" s="2">
        <v>0</v>
      </c>
    </row>
    <row r="5" spans="1:15" x14ac:dyDescent="0.45">
      <c r="A5" t="s">
        <v>18</v>
      </c>
      <c r="B5" s="2">
        <v>49</v>
      </c>
      <c r="C5" s="3">
        <v>43923</v>
      </c>
      <c r="D5" s="3">
        <v>43952</v>
      </c>
      <c r="E5" s="2">
        <v>48</v>
      </c>
      <c r="F5" s="3">
        <v>44120</v>
      </c>
      <c r="G5" s="2">
        <v>0</v>
      </c>
      <c r="H5" s="2">
        <v>0</v>
      </c>
      <c r="I5" s="2">
        <v>1</v>
      </c>
      <c r="J5" s="2">
        <v>0</v>
      </c>
      <c r="K5" s="2">
        <v>0</v>
      </c>
      <c r="L5" s="2">
        <v>0</v>
      </c>
      <c r="N5" s="2">
        <v>0</v>
      </c>
      <c r="O5" s="2">
        <v>0</v>
      </c>
    </row>
    <row r="6" spans="1:15" x14ac:dyDescent="0.45">
      <c r="A6" t="s">
        <v>9</v>
      </c>
      <c r="B6" s="2">
        <v>52</v>
      </c>
      <c r="C6" s="3">
        <v>43924</v>
      </c>
      <c r="D6" s="3">
        <v>43955</v>
      </c>
      <c r="E6" s="2">
        <v>12</v>
      </c>
      <c r="F6" s="3">
        <v>44120</v>
      </c>
      <c r="G6" s="2">
        <v>0</v>
      </c>
      <c r="H6" s="2">
        <v>0</v>
      </c>
      <c r="J6" s="2">
        <v>0</v>
      </c>
      <c r="K6" s="2">
        <v>0</v>
      </c>
      <c r="L6" s="2">
        <v>0</v>
      </c>
      <c r="N6" s="2">
        <v>0</v>
      </c>
    </row>
    <row r="7" spans="1:15" x14ac:dyDescent="0.45">
      <c r="A7" t="s">
        <v>11</v>
      </c>
      <c r="B7" s="2">
        <v>52</v>
      </c>
      <c r="C7" s="3">
        <v>43920</v>
      </c>
      <c r="D7" s="3">
        <v>43955</v>
      </c>
      <c r="E7" s="2">
        <v>20</v>
      </c>
      <c r="F7" s="3">
        <v>44120</v>
      </c>
      <c r="G7" s="2">
        <v>0</v>
      </c>
      <c r="H7" s="2">
        <v>0</v>
      </c>
      <c r="J7" s="2">
        <v>0</v>
      </c>
      <c r="K7" s="2">
        <v>0</v>
      </c>
      <c r="L7" s="2">
        <v>0</v>
      </c>
      <c r="N7" s="2">
        <v>0</v>
      </c>
      <c r="O7" s="2">
        <v>0</v>
      </c>
    </row>
    <row r="8" spans="1:15" x14ac:dyDescent="0.45">
      <c r="A8" t="s">
        <v>15</v>
      </c>
      <c r="B8" s="2">
        <v>52</v>
      </c>
      <c r="C8" s="3">
        <v>43927</v>
      </c>
      <c r="D8" s="3">
        <v>43955</v>
      </c>
      <c r="E8" s="2">
        <v>29</v>
      </c>
      <c r="F8" s="3">
        <v>44120</v>
      </c>
      <c r="G8" s="2">
        <v>0</v>
      </c>
      <c r="H8" s="2">
        <v>1</v>
      </c>
      <c r="J8" s="2">
        <v>0</v>
      </c>
      <c r="K8" s="2">
        <v>0</v>
      </c>
      <c r="L8" s="2">
        <v>0</v>
      </c>
      <c r="N8" s="2">
        <v>0</v>
      </c>
    </row>
    <row r="9" spans="1:15" x14ac:dyDescent="0.45">
      <c r="A9" t="s">
        <v>6</v>
      </c>
      <c r="B9" s="2">
        <v>54</v>
      </c>
      <c r="C9" s="3"/>
      <c r="D9" s="3">
        <v>43957</v>
      </c>
      <c r="E9" s="2">
        <v>5</v>
      </c>
      <c r="F9" s="3">
        <v>44120</v>
      </c>
      <c r="G9" s="2">
        <v>0</v>
      </c>
      <c r="H9" s="2">
        <v>0</v>
      </c>
      <c r="J9" s="2">
        <v>0</v>
      </c>
      <c r="K9" s="2">
        <v>0</v>
      </c>
      <c r="L9" s="2">
        <v>0</v>
      </c>
      <c r="N9" s="2">
        <v>0</v>
      </c>
    </row>
    <row r="10" spans="1:15" x14ac:dyDescent="0.45">
      <c r="A10" t="s">
        <v>20</v>
      </c>
      <c r="B10" s="2">
        <v>61</v>
      </c>
      <c r="C10" s="3">
        <v>43915</v>
      </c>
      <c r="D10" s="3">
        <v>43964</v>
      </c>
      <c r="E10" s="2">
        <v>55</v>
      </c>
      <c r="F10" s="3">
        <v>44120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N10" s="2">
        <v>0</v>
      </c>
    </row>
    <row r="11" spans="1:15" x14ac:dyDescent="0.45">
      <c r="A11" t="s">
        <v>13</v>
      </c>
      <c r="B11" s="2">
        <v>63</v>
      </c>
      <c r="C11" s="3">
        <v>43913</v>
      </c>
      <c r="D11" s="3">
        <v>43966</v>
      </c>
      <c r="E11" s="2">
        <v>22</v>
      </c>
      <c r="F11" s="3">
        <v>44120</v>
      </c>
      <c r="G11" s="2">
        <v>0</v>
      </c>
      <c r="H11" s="2">
        <v>0</v>
      </c>
      <c r="J11" s="2">
        <v>0</v>
      </c>
      <c r="K11" s="2">
        <v>0</v>
      </c>
      <c r="L11" s="2">
        <v>0</v>
      </c>
      <c r="N11" s="2">
        <v>1</v>
      </c>
    </row>
    <row r="12" spans="1:15" x14ac:dyDescent="0.45">
      <c r="A12" t="s">
        <v>17</v>
      </c>
      <c r="B12" s="2">
        <v>63</v>
      </c>
      <c r="C12" s="3">
        <v>43913</v>
      </c>
      <c r="D12" s="3">
        <v>43966</v>
      </c>
      <c r="E12" s="2">
        <v>41</v>
      </c>
      <c r="F12" s="3">
        <v>44120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N12" s="2">
        <v>0</v>
      </c>
      <c r="O12" s="2">
        <v>0</v>
      </c>
    </row>
    <row r="13" spans="1:15" x14ac:dyDescent="0.45">
      <c r="A13" t="s">
        <v>19</v>
      </c>
      <c r="B13" s="2">
        <v>63</v>
      </c>
      <c r="C13" s="3">
        <v>43920</v>
      </c>
      <c r="D13" s="3">
        <v>43966</v>
      </c>
      <c r="E13" s="2">
        <v>51</v>
      </c>
      <c r="F13" s="3">
        <v>44120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N13" s="2">
        <v>0</v>
      </c>
    </row>
    <row r="14" spans="1:15" x14ac:dyDescent="0.45">
      <c r="A14" t="s">
        <v>14</v>
      </c>
      <c r="B14" s="2">
        <v>66</v>
      </c>
      <c r="C14" s="3">
        <v>43914</v>
      </c>
      <c r="D14" s="3">
        <v>43969</v>
      </c>
      <c r="E14" s="2">
        <v>25</v>
      </c>
      <c r="F14" s="3">
        <v>44120</v>
      </c>
      <c r="G14" s="2">
        <v>0</v>
      </c>
      <c r="H14" s="2">
        <v>0</v>
      </c>
      <c r="I14" s="2">
        <v>1</v>
      </c>
      <c r="J14" s="2">
        <v>0</v>
      </c>
      <c r="K14" s="2">
        <v>0</v>
      </c>
      <c r="M14" s="2">
        <v>1</v>
      </c>
    </row>
    <row r="15" spans="1:15" x14ac:dyDescent="0.45">
      <c r="A15" t="s">
        <v>8</v>
      </c>
      <c r="B15" s="2">
        <v>68</v>
      </c>
      <c r="C15" s="3">
        <v>43913</v>
      </c>
      <c r="D15" s="3">
        <v>43971</v>
      </c>
      <c r="E15" s="2">
        <v>9</v>
      </c>
      <c r="F15" s="3">
        <v>44120</v>
      </c>
      <c r="G15" s="2">
        <v>0</v>
      </c>
      <c r="H15" s="2">
        <v>1</v>
      </c>
      <c r="J15" s="2">
        <v>0</v>
      </c>
      <c r="K15" s="2">
        <v>0</v>
      </c>
      <c r="L15" s="2">
        <v>0</v>
      </c>
      <c r="N15" s="2">
        <v>0</v>
      </c>
      <c r="O15" s="2">
        <v>0</v>
      </c>
    </row>
    <row r="16" spans="1:15" x14ac:dyDescent="0.45">
      <c r="A16" t="s">
        <v>12</v>
      </c>
      <c r="B16" s="2">
        <v>68</v>
      </c>
      <c r="C16" s="3">
        <v>43916</v>
      </c>
      <c r="D16" s="3">
        <v>43971</v>
      </c>
      <c r="E16" s="2">
        <v>21</v>
      </c>
      <c r="F16" s="3">
        <v>44120</v>
      </c>
      <c r="G16" s="2">
        <v>0</v>
      </c>
      <c r="H16" s="2">
        <v>0</v>
      </c>
      <c r="J16" s="2">
        <v>0</v>
      </c>
      <c r="K16" s="2">
        <v>0</v>
      </c>
      <c r="L16" s="2">
        <v>0</v>
      </c>
      <c r="N16" s="2">
        <v>0</v>
      </c>
      <c r="O16" s="2">
        <v>0</v>
      </c>
    </row>
    <row r="17" spans="1:15" x14ac:dyDescent="0.45">
      <c r="A17" t="s">
        <v>10</v>
      </c>
      <c r="B17" s="2">
        <v>77</v>
      </c>
      <c r="C17" s="3">
        <v>43911</v>
      </c>
      <c r="D17" s="3">
        <v>43980</v>
      </c>
      <c r="E17" s="2">
        <v>17</v>
      </c>
      <c r="F17" s="3">
        <v>44120</v>
      </c>
      <c r="G17" s="2">
        <v>0</v>
      </c>
      <c r="H17" s="2">
        <v>0</v>
      </c>
      <c r="J17" s="2">
        <v>0</v>
      </c>
      <c r="K17" s="2">
        <v>0</v>
      </c>
      <c r="L17" s="2">
        <v>0</v>
      </c>
      <c r="N17" s="2">
        <v>0</v>
      </c>
      <c r="O17" s="2">
        <v>0</v>
      </c>
    </row>
    <row r="18" spans="1:15" x14ac:dyDescent="0.45">
      <c r="B18" s="2">
        <f>SUBTOTAL(101,Table1[Shutdown Length])</f>
        <v>56.8125</v>
      </c>
      <c r="C18" s="3"/>
      <c r="D18" s="3"/>
      <c r="F18" s="3"/>
    </row>
    <row r="19" spans="1:15" ht="42.75" x14ac:dyDescent="0.45">
      <c r="A19" s="4" t="s">
        <v>27</v>
      </c>
    </row>
    <row r="21" spans="1:15" ht="57" x14ac:dyDescent="0.45">
      <c r="A21" s="6" t="s">
        <v>32</v>
      </c>
    </row>
    <row r="22" spans="1:15" x14ac:dyDescent="0.45">
      <c r="A22" s="5"/>
    </row>
    <row r="24" spans="1:15" x14ac:dyDescent="0.45">
      <c r="A24">
        <f>MIN(Table1[National Shutdown Start  Date])</f>
        <v>43911</v>
      </c>
    </row>
  </sheetData>
  <conditionalFormatting sqref="B2:B17">
    <cfRule type="colorScale" priority="1">
      <colorScale>
        <cfvo type="min"/>
        <cfvo type="percentile" val="50"/>
        <cfvo type="max"/>
        <color theme="9" tint="0.59999389629810485"/>
        <color theme="9" tint="0.39997558519241921"/>
        <color theme="9" tint="-0.249977111117893"/>
      </colorScale>
    </cfRule>
  </conditionalFormatting>
  <hyperlinks>
    <hyperlink ref="A19" r:id="rId1" xr:uid="{00000000-0004-0000-0000-000000000000}"/>
    <hyperlink ref="A21" r:id="rId2" xr:uid="{8E3ECEA3-7D8F-4E4F-B421-DA75A39F9256}"/>
  </hyperlinks>
  <pageMargins left="0.7" right="0.7" top="0.75" bottom="0.75" header="0.3" footer="0.3"/>
  <pageSetup orientation="portrait" r:id="rId3"/>
  <drawing r:id="rId4"/>
  <legacyDrawing r:id="rId5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B1DC3-5638-4052-9F5A-F7F14D4A5D50}">
  <dimension ref="A1"/>
  <sheetViews>
    <sheetView showGridLines="0" tabSelected="1" workbookViewId="0">
      <selection activeCell="P13" sqref="P13"/>
    </sheetView>
  </sheetViews>
  <sheetFormatPr defaultRowHeight="14.25" x14ac:dyDescent="0.4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NYTimes_ReOpen_Date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Witt</dc:creator>
  <cp:lastModifiedBy>Diane Witt</cp:lastModifiedBy>
  <dcterms:created xsi:type="dcterms:W3CDTF">2020-10-17T15:48:42Z</dcterms:created>
  <dcterms:modified xsi:type="dcterms:W3CDTF">2020-10-19T23:00:15Z</dcterms:modified>
</cp:coreProperties>
</file>