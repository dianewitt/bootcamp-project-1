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dd2e462c9de83c/Documents/GitHub/0.0 Projects/Project 1/"/>
    </mc:Choice>
  </mc:AlternateContent>
  <xr:revisionPtr revIDLastSave="0" documentId="13_ncr:40009_{EF8B7099-85DF-4C7E-B024-2B42AE8638BE}" xr6:coauthVersionLast="45" xr6:coauthVersionMax="45" xr10:uidLastSave="{00000000-0000-0000-0000-000000000000}"/>
  <bookViews>
    <workbookView xWindow="1470" yWindow="1470" windowWidth="21600" windowHeight="11423"/>
  </bookViews>
  <sheets>
    <sheet name="cleaned_alcohol_data" sheetId="1" r:id="rId1"/>
  </sheets>
  <calcPr calcId="0"/>
  <pivotCaches>
    <pivotCache cacheId="4" r:id="rId2"/>
  </pivotCaches>
</workbook>
</file>

<file path=xl/calcChain.xml><?xml version="1.0" encoding="utf-8"?>
<calcChain xmlns="http://schemas.openxmlformats.org/spreadsheetml/2006/main">
  <c r="P27" i="1" l="1"/>
  <c r="Q27" i="1" s="1"/>
  <c r="R27" i="1" s="1"/>
  <c r="S27" i="1" s="1"/>
  <c r="P28" i="1"/>
  <c r="Q28" i="1" s="1"/>
  <c r="R28" i="1" s="1"/>
  <c r="S28" i="1" s="1"/>
  <c r="P29" i="1"/>
  <c r="Q29" i="1" s="1"/>
  <c r="R29" i="1" s="1"/>
  <c r="S29" i="1" s="1"/>
  <c r="P30" i="1"/>
  <c r="Q30" i="1" s="1"/>
  <c r="R30" i="1" s="1"/>
  <c r="S30" i="1" s="1"/>
  <c r="P31" i="1"/>
  <c r="Q31" i="1" s="1"/>
  <c r="R31" i="1" s="1"/>
  <c r="S31" i="1" s="1"/>
  <c r="P32" i="1"/>
  <c r="Q32" i="1" s="1"/>
  <c r="R32" i="1" s="1"/>
  <c r="S32" i="1" s="1"/>
  <c r="P33" i="1"/>
  <c r="Q33" i="1" s="1"/>
  <c r="R33" i="1" s="1"/>
  <c r="S33" i="1" s="1"/>
  <c r="P34" i="1"/>
  <c r="Q34" i="1" s="1"/>
  <c r="R34" i="1" s="1"/>
  <c r="S34" i="1" s="1"/>
  <c r="P35" i="1"/>
  <c r="Q35" i="1" s="1"/>
  <c r="R35" i="1" s="1"/>
  <c r="S35" i="1" s="1"/>
  <c r="P36" i="1"/>
  <c r="Q36" i="1" s="1"/>
  <c r="R36" i="1" s="1"/>
  <c r="S36" i="1" s="1"/>
  <c r="P37" i="1"/>
  <c r="Q37" i="1" s="1"/>
  <c r="R37" i="1" s="1"/>
  <c r="S37" i="1" s="1"/>
  <c r="P38" i="1"/>
  <c r="Q38" i="1" s="1"/>
  <c r="R38" i="1" s="1"/>
  <c r="S38" i="1" s="1"/>
  <c r="P39" i="1"/>
  <c r="Q39" i="1" s="1"/>
  <c r="R39" i="1" s="1"/>
  <c r="S39" i="1" s="1"/>
  <c r="P40" i="1"/>
  <c r="Q40" i="1" s="1"/>
  <c r="R40" i="1" s="1"/>
  <c r="S40" i="1" s="1"/>
  <c r="P41" i="1"/>
  <c r="Q41" i="1" s="1"/>
  <c r="R41" i="1" s="1"/>
  <c r="S41" i="1" s="1"/>
  <c r="P42" i="1"/>
  <c r="Q42" i="1" s="1"/>
  <c r="R42" i="1" s="1"/>
  <c r="S42" i="1" s="1"/>
  <c r="P43" i="1"/>
  <c r="Q43" i="1" s="1"/>
  <c r="R43" i="1" s="1"/>
  <c r="S43" i="1" s="1"/>
  <c r="P44" i="1"/>
  <c r="Q44" i="1" s="1"/>
  <c r="R44" i="1" s="1"/>
  <c r="S44" i="1" s="1"/>
  <c r="P45" i="1"/>
  <c r="Q45" i="1" s="1"/>
  <c r="R45" i="1" s="1"/>
  <c r="S45" i="1" s="1"/>
  <c r="P46" i="1"/>
  <c r="Q46" i="1" s="1"/>
  <c r="R46" i="1" s="1"/>
  <c r="S46" i="1" s="1"/>
  <c r="P47" i="1"/>
  <c r="Q47" i="1" s="1"/>
  <c r="R47" i="1" s="1"/>
  <c r="S47" i="1" s="1"/>
  <c r="P48" i="1"/>
  <c r="Q48" i="1" s="1"/>
  <c r="R48" i="1" s="1"/>
  <c r="S48" i="1" s="1"/>
  <c r="P49" i="1"/>
  <c r="Q49" i="1" s="1"/>
  <c r="R49" i="1" s="1"/>
  <c r="S49" i="1" s="1"/>
  <c r="P50" i="1"/>
  <c r="Q50" i="1"/>
  <c r="R50" i="1" s="1"/>
  <c r="S50" i="1" s="1"/>
  <c r="P51" i="1"/>
  <c r="Q51" i="1" s="1"/>
  <c r="R51" i="1" s="1"/>
  <c r="S51" i="1" s="1"/>
  <c r="P52" i="1"/>
  <c r="Q52" i="1"/>
  <c r="R52" i="1" s="1"/>
  <c r="S52" i="1" s="1"/>
  <c r="P53" i="1"/>
  <c r="Q53" i="1" s="1"/>
  <c r="R53" i="1" s="1"/>
  <c r="S53" i="1" s="1"/>
  <c r="P54" i="1"/>
  <c r="Q54" i="1" s="1"/>
  <c r="R54" i="1" s="1"/>
  <c r="S54" i="1" s="1"/>
  <c r="P55" i="1"/>
  <c r="Q55" i="1" s="1"/>
  <c r="R55" i="1" s="1"/>
  <c r="S55" i="1" s="1"/>
  <c r="P56" i="1"/>
  <c r="Q56" i="1" s="1"/>
  <c r="R56" i="1" s="1"/>
  <c r="S56" i="1" s="1"/>
  <c r="P57" i="1"/>
  <c r="Q57" i="1" s="1"/>
  <c r="R57" i="1" s="1"/>
  <c r="S57" i="1" s="1"/>
  <c r="P58" i="1"/>
  <c r="Q58" i="1" s="1"/>
  <c r="R58" i="1" s="1"/>
  <c r="S58" i="1" s="1"/>
  <c r="P59" i="1"/>
  <c r="Q59" i="1" s="1"/>
  <c r="R59" i="1" s="1"/>
  <c r="S59" i="1" s="1"/>
  <c r="P60" i="1"/>
  <c r="Q60" i="1" s="1"/>
  <c r="R60" i="1" s="1"/>
  <c r="S60" i="1" s="1"/>
  <c r="P61" i="1"/>
  <c r="Q61" i="1" s="1"/>
  <c r="R61" i="1" s="1"/>
  <c r="S61" i="1" s="1"/>
  <c r="P62" i="1"/>
  <c r="Q62" i="1" s="1"/>
  <c r="R62" i="1" s="1"/>
  <c r="S62" i="1" s="1"/>
  <c r="P63" i="1"/>
  <c r="Q63" i="1" s="1"/>
  <c r="R63" i="1" s="1"/>
  <c r="S63" i="1" s="1"/>
  <c r="P64" i="1"/>
  <c r="Q64" i="1" s="1"/>
  <c r="R64" i="1" s="1"/>
  <c r="S64" i="1" s="1"/>
  <c r="P65" i="1"/>
  <c r="Q65" i="1" s="1"/>
  <c r="R65" i="1" s="1"/>
  <c r="S65" i="1" s="1"/>
  <c r="P66" i="1"/>
  <c r="Q66" i="1"/>
  <c r="R66" i="1" s="1"/>
  <c r="S66" i="1" s="1"/>
  <c r="P67" i="1"/>
  <c r="Q67" i="1" s="1"/>
  <c r="R67" i="1" s="1"/>
  <c r="S67" i="1" s="1"/>
  <c r="P68" i="1"/>
  <c r="Q68" i="1" s="1"/>
  <c r="R68" i="1" s="1"/>
  <c r="S68" i="1" s="1"/>
  <c r="P69" i="1"/>
  <c r="Q69" i="1" s="1"/>
  <c r="R69" i="1" s="1"/>
  <c r="S69" i="1" s="1"/>
  <c r="P70" i="1"/>
  <c r="Q70" i="1" s="1"/>
  <c r="R70" i="1" s="1"/>
  <c r="S70" i="1" s="1"/>
  <c r="P71" i="1"/>
  <c r="Q71" i="1" s="1"/>
  <c r="R71" i="1" s="1"/>
  <c r="S71" i="1" s="1"/>
  <c r="P72" i="1"/>
  <c r="Q72" i="1" s="1"/>
  <c r="R72" i="1" s="1"/>
  <c r="S72" i="1" s="1"/>
  <c r="P73" i="1"/>
  <c r="Q73" i="1" s="1"/>
  <c r="R73" i="1" s="1"/>
  <c r="S73" i="1" s="1"/>
  <c r="P74" i="1"/>
  <c r="Q74" i="1" s="1"/>
  <c r="R74" i="1" s="1"/>
  <c r="S74" i="1" s="1"/>
  <c r="P75" i="1"/>
  <c r="Q75" i="1" s="1"/>
  <c r="R75" i="1" s="1"/>
  <c r="S75" i="1" s="1"/>
  <c r="P76" i="1"/>
  <c r="Q76" i="1" s="1"/>
  <c r="R76" i="1" s="1"/>
  <c r="S76" i="1" s="1"/>
  <c r="P77" i="1"/>
  <c r="Q77" i="1" s="1"/>
  <c r="R77" i="1" s="1"/>
  <c r="S77" i="1" s="1"/>
  <c r="P78" i="1"/>
  <c r="Q78" i="1" s="1"/>
  <c r="R78" i="1" s="1"/>
  <c r="S78" i="1" s="1"/>
  <c r="P79" i="1"/>
  <c r="Q79" i="1" s="1"/>
  <c r="R79" i="1" s="1"/>
  <c r="S79" i="1" s="1"/>
  <c r="P80" i="1"/>
  <c r="Q80" i="1" s="1"/>
  <c r="R80" i="1" s="1"/>
  <c r="S80" i="1" s="1"/>
  <c r="P81" i="1"/>
  <c r="Q81" i="1" s="1"/>
  <c r="R81" i="1" s="1"/>
  <c r="S81" i="1" s="1"/>
  <c r="P82" i="1"/>
  <c r="Q82" i="1" s="1"/>
  <c r="R82" i="1" s="1"/>
  <c r="S82" i="1" s="1"/>
  <c r="P83" i="1"/>
  <c r="Q83" i="1" s="1"/>
  <c r="R83" i="1" s="1"/>
  <c r="S83" i="1" s="1"/>
  <c r="P84" i="1"/>
  <c r="Q84" i="1" s="1"/>
  <c r="R84" i="1" s="1"/>
  <c r="S84" i="1" s="1"/>
  <c r="P85" i="1"/>
  <c r="Q85" i="1" s="1"/>
  <c r="R85" i="1" s="1"/>
  <c r="S85" i="1" s="1"/>
  <c r="P86" i="1"/>
  <c r="Q86" i="1" s="1"/>
  <c r="R86" i="1" s="1"/>
  <c r="S86" i="1" s="1"/>
  <c r="P87" i="1"/>
  <c r="Q87" i="1" s="1"/>
  <c r="R87" i="1" s="1"/>
  <c r="S87" i="1" s="1"/>
  <c r="P88" i="1"/>
  <c r="Q88" i="1" s="1"/>
  <c r="R88" i="1" s="1"/>
  <c r="S88" i="1" s="1"/>
  <c r="P89" i="1"/>
  <c r="Q89" i="1" s="1"/>
  <c r="R89" i="1" s="1"/>
  <c r="S89" i="1" s="1"/>
  <c r="P90" i="1"/>
  <c r="Q90" i="1" s="1"/>
  <c r="R90" i="1" s="1"/>
  <c r="S90" i="1" s="1"/>
  <c r="P91" i="1"/>
  <c r="Q91" i="1" s="1"/>
  <c r="R91" i="1" s="1"/>
  <c r="S91" i="1" s="1"/>
  <c r="P92" i="1"/>
  <c r="Q92" i="1" s="1"/>
  <c r="R92" i="1" s="1"/>
  <c r="S92" i="1" s="1"/>
  <c r="P93" i="1"/>
  <c r="Q93" i="1" s="1"/>
  <c r="R93" i="1" s="1"/>
  <c r="S93" i="1" s="1"/>
  <c r="P94" i="1"/>
  <c r="Q94" i="1" s="1"/>
  <c r="R94" i="1" s="1"/>
  <c r="S94" i="1" s="1"/>
  <c r="P95" i="1"/>
  <c r="Q95" i="1" s="1"/>
  <c r="R95" i="1" s="1"/>
  <c r="S95" i="1" s="1"/>
  <c r="P96" i="1"/>
  <c r="Q96" i="1" s="1"/>
  <c r="R96" i="1" s="1"/>
  <c r="S96" i="1" s="1"/>
  <c r="P97" i="1"/>
  <c r="Q97" i="1" s="1"/>
  <c r="R97" i="1" s="1"/>
  <c r="S97" i="1" s="1"/>
  <c r="P98" i="1"/>
  <c r="Q98" i="1"/>
  <c r="R98" i="1" s="1"/>
  <c r="S98" i="1" s="1"/>
  <c r="P99" i="1"/>
  <c r="Q99" i="1" s="1"/>
  <c r="R99" i="1" s="1"/>
  <c r="S99" i="1" s="1"/>
  <c r="P100" i="1"/>
  <c r="Q100" i="1" s="1"/>
  <c r="R100" i="1" s="1"/>
  <c r="S100" i="1" s="1"/>
  <c r="P101" i="1"/>
  <c r="Q101" i="1" s="1"/>
  <c r="R101" i="1" s="1"/>
  <c r="S101" i="1" s="1"/>
  <c r="P102" i="1"/>
  <c r="Q102" i="1" s="1"/>
  <c r="R102" i="1" s="1"/>
  <c r="S102" i="1" s="1"/>
  <c r="P103" i="1"/>
  <c r="Q103" i="1" s="1"/>
  <c r="R103" i="1" s="1"/>
  <c r="S103" i="1" s="1"/>
  <c r="P104" i="1"/>
  <c r="Q104" i="1" s="1"/>
  <c r="R104" i="1" s="1"/>
  <c r="S104" i="1" s="1"/>
  <c r="P105" i="1"/>
  <c r="Q105" i="1" s="1"/>
  <c r="R105" i="1" s="1"/>
  <c r="S105" i="1" s="1"/>
  <c r="P106" i="1"/>
  <c r="Q106" i="1" s="1"/>
  <c r="R106" i="1" s="1"/>
  <c r="S106" i="1" s="1"/>
  <c r="P107" i="1"/>
  <c r="Q107" i="1" s="1"/>
  <c r="R107" i="1" s="1"/>
  <c r="S107" i="1" s="1"/>
  <c r="P108" i="1"/>
  <c r="Q108" i="1" s="1"/>
  <c r="R108" i="1" s="1"/>
  <c r="S108" i="1" s="1"/>
  <c r="P109" i="1"/>
  <c r="Q109" i="1" s="1"/>
  <c r="R109" i="1" s="1"/>
  <c r="S109" i="1" s="1"/>
  <c r="P110" i="1"/>
  <c r="Q110" i="1" s="1"/>
  <c r="R110" i="1" s="1"/>
  <c r="S110" i="1" s="1"/>
  <c r="P26" i="1"/>
  <c r="Q26" i="1" s="1"/>
  <c r="R26" i="1" s="1"/>
  <c r="S26" i="1" s="1"/>
  <c r="P25" i="1"/>
  <c r="Q25" i="1" s="1"/>
  <c r="R25" i="1" s="1"/>
  <c r="S25" i="1" s="1"/>
  <c r="P24" i="1"/>
  <c r="Q24" i="1" s="1"/>
  <c r="R24" i="1" s="1"/>
  <c r="S24" i="1" s="1"/>
  <c r="P23" i="1"/>
  <c r="Q23" i="1" s="1"/>
  <c r="R23" i="1" s="1"/>
  <c r="S23" i="1" s="1"/>
  <c r="P22" i="1"/>
  <c r="Q22" i="1" s="1"/>
  <c r="R22" i="1" s="1"/>
  <c r="S22" i="1" s="1"/>
  <c r="P21" i="1"/>
  <c r="Q21" i="1" s="1"/>
  <c r="R21" i="1" s="1"/>
  <c r="S21" i="1" s="1"/>
  <c r="P20" i="1"/>
  <c r="Q20" i="1" s="1"/>
  <c r="R20" i="1" s="1"/>
  <c r="S20" i="1" s="1"/>
  <c r="S8" i="1"/>
  <c r="S9" i="1"/>
  <c r="S10" i="1"/>
  <c r="S11" i="1"/>
  <c r="S12" i="1"/>
  <c r="S13" i="1"/>
  <c r="S7" i="1"/>
  <c r="P8" i="1"/>
  <c r="Q8" i="1" s="1"/>
  <c r="R8" i="1" s="1"/>
  <c r="P9" i="1"/>
  <c r="Q9" i="1" s="1"/>
  <c r="R9" i="1" s="1"/>
  <c r="P10" i="1"/>
  <c r="Q10" i="1" s="1"/>
  <c r="R10" i="1" s="1"/>
  <c r="P11" i="1"/>
  <c r="Q11" i="1" s="1"/>
  <c r="R11" i="1" s="1"/>
  <c r="P12" i="1"/>
  <c r="Q12" i="1" s="1"/>
  <c r="R12" i="1" s="1"/>
  <c r="P13" i="1"/>
  <c r="Q13" i="1" s="1"/>
  <c r="R13" i="1" s="1"/>
  <c r="P7" i="1"/>
  <c r="Q7" i="1" s="1"/>
  <c r="R7" i="1" s="1"/>
</calcChain>
</file>

<file path=xl/sharedStrings.xml><?xml version="1.0" encoding="utf-8"?>
<sst xmlns="http://schemas.openxmlformats.org/spreadsheetml/2006/main" count="3909" uniqueCount="47">
  <si>
    <t>State</t>
  </si>
  <si>
    <t>Year</t>
  </si>
  <si>
    <t>Month</t>
  </si>
  <si>
    <t>Alcohol Drink Type</t>
  </si>
  <si>
    <t>Gallons of Ethanol Consumed</t>
  </si>
  <si>
    <t>Population</t>
  </si>
  <si>
    <t>Per Capita Gallons Ethanol</t>
  </si>
  <si>
    <t>Alaska</t>
  </si>
  <si>
    <t>Spirits</t>
  </si>
  <si>
    <t>Arkansas</t>
  </si>
  <si>
    <t>Colorado</t>
  </si>
  <si>
    <t>Connecticut</t>
  </si>
  <si>
    <t>Florida</t>
  </si>
  <si>
    <t>Illinois</t>
  </si>
  <si>
    <t>Kansas</t>
  </si>
  <si>
    <t>Kentucky</t>
  </si>
  <si>
    <t>Louisiana</t>
  </si>
  <si>
    <t>Massachusetts</t>
  </si>
  <si>
    <t>Missouri</t>
  </si>
  <si>
    <t>North Dakota</t>
  </si>
  <si>
    <t>Texas</t>
  </si>
  <si>
    <t>Virginia</t>
  </si>
  <si>
    <t>Wisconsin</t>
  </si>
  <si>
    <t>Wine</t>
  </si>
  <si>
    <t>Oregon</t>
  </si>
  <si>
    <t>Beer</t>
  </si>
  <si>
    <t>Row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</si>
  <si>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</si>
  <si>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</si>
  <si>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</si>
  <si>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</si>
  <si>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</si>
  <si>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</si>
  <si>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</si>
  <si>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</si>
  <si>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</si>
  <si>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</si>
  <si>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</si>
  <si>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</si>
  <si>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</si>
  <si>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Column Labels</t>
  </si>
  <si>
    <t>Avg</t>
  </si>
  <si>
    <t>Dif</t>
  </si>
  <si>
    <t>Pct Chg</t>
  </si>
  <si>
    <t>Consistent with news reports of bars and restaurant revenue way down</t>
  </si>
  <si>
    <t>Sum of Gallons of Ethanol Consumed</t>
  </si>
  <si>
    <t>Removed Connecticutt, Colorado missing data for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</si>
</sst>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6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166" fontId="0" fillId="0" borderId="0" xfId="1" applyNumberFormat="1" applyFont="1"/>
    <xf numFmtId="166" fontId="0" fillId="0" borderId="0" xfId="1" applyNumberFormat="1" applyFont="1" applyAlignment="1">
      <alignment horizontal="right"/>
    </xf>
    <xf numFmtId="164" fontId="0" fillId="0" borderId="0" xfId="2" applyNumberFormat="1" applyFont="1" applyAlignment="1">
      <alignment horizontal="center"/>
    </xf>
    <xf numFmtId="166" fontId="0" fillId="0" borderId="0" xfId="0" applyNumberFormat="1"/>
    <xf numFmtId="166" fontId="0" fillId="33" borderId="0" xfId="0" applyNumberFormat="1" applyFill="1"/>
    <xf numFmtId="166" fontId="0" fillId="0" borderId="0" xfId="1" applyNumberFormat="1" applyFont="1" applyAlignment="1">
      <alignment horizontal="left"/>
    </xf>
    <xf numFmtId="0" fontId="0" fillId="33" borderId="0" xfId="0" applyFill="1" applyAlignment="1">
      <alignment horizontal="left" inden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90"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5" formatCode="_(* #,##0.0_);_(* \(#,##0.0\);_(* &quot;-&quot;??_);_(@_)"/>
    </dxf>
    <dxf>
      <numFmt numFmtId="166" formatCode="_(* #,##0_);_(* \(#,##0\);_(* &quot;-&quot;??_);_(@_)"/>
    </dxf>
    <dxf>
      <numFmt numFmtId="165" formatCode="_(* #,##0.0_);_(* \(#,##0.0\);_(* &quot;-&quot;??_);_(@_)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ane Witt" refreshedDate="44123.201715393516" createdVersion="6" refreshedVersion="6" minRefreshableVersion="3" recordCount="1838">
  <cacheSource type="worksheet">
    <worksheetSource name="Table1"/>
  </cacheSource>
  <cacheFields count="8">
    <cacheField name="State" numFmtId="0">
      <sharedItems count="16">
        <s v="Alaska"/>
        <s v="Arkansas"/>
        <s v="Colorado"/>
        <s v="Connecticut"/>
        <s v="Florida"/>
        <s v="Illinois"/>
        <s v="Kansas"/>
        <s v="Kentucky"/>
        <s v="Louisiana"/>
        <s v="Massachusetts"/>
        <s v="Missouri"/>
        <s v="North Dakota"/>
        <s v="Texas"/>
        <s v="Virginia"/>
        <s v="Wisconsin"/>
        <s v="Oregon"/>
      </sharedItems>
    </cacheField>
    <cacheField name="Year" numFmtId="0">
      <sharedItems containsSemiMixedTypes="0" containsString="0" containsNumber="1" containsInteger="1" minValue="2017" maxValue="2020" count="4">
        <n v="2017"/>
        <n v="2018"/>
        <n v="2019"/>
        <n v="2020"/>
      </sharedItems>
    </cacheField>
    <cacheField name="Month" numFmtId="16">
      <sharedItems containsSemiMixedTypes="0" containsNonDate="0" containsDate="1" containsString="0" minDate="2020-01-01T00:00:00" maxDate="2020-12-13T00:00:00" count="12">
        <d v="2020-01-01T00:00:00"/>
        <d v="2020-02-02T00:00:00"/>
        <d v="2020-03-03T00:00:00"/>
        <d v="2020-04-04T00:00:00"/>
        <d v="2020-05-05T00:00:00"/>
        <d v="2020-06-06T00:00:00"/>
        <d v="2020-07-07T00:00:00"/>
        <d v="2020-08-08T00:00:00"/>
        <d v="2020-09-09T00:00:00"/>
        <d v="2020-10-10T00:00:00"/>
        <d v="2020-11-11T00:00:00"/>
        <d v="2020-12-12T00:00:00"/>
      </sharedItems>
      <fieldGroup par="7" base="2">
        <rangePr groupBy="days" startDate="2020-01-01T00:00:00" endDate="2020-12-13T00:00:00"/>
        <groupItems count="368">
          <s v="&lt;1/1/202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13/2020"/>
        </groupItems>
      </fieldGroup>
    </cacheField>
    <cacheField name="Alcohol Drink Type" numFmtId="0">
      <sharedItems/>
    </cacheField>
    <cacheField name="Gallons of Ethanol Consumed" numFmtId="0">
      <sharedItems containsSemiMixedTypes="0" containsString="0" containsNumber="1" containsInteger="1" minValue="11672" maxValue="2843558"/>
    </cacheField>
    <cacheField name="Population" numFmtId="0">
      <sharedItems containsSemiMixedTypes="0" containsString="0" containsNumber="1" containsInteger="1" minValue="589481" maxValue="23257363"/>
    </cacheField>
    <cacheField name="Per Capita Gallons Ethanol" numFmtId="0">
      <sharedItems containsSemiMixedTypes="0" containsString="0" containsNumber="1" minValue="0.86" maxValue="18.16"/>
    </cacheField>
    <cacheField name="Months" numFmtId="0" databaseField="0">
      <fieldGroup base="2">
        <rangePr groupBy="months" startDate="2020-01-01T00:00:00" endDate="2020-12-13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3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8">
  <r>
    <x v="0"/>
    <x v="0"/>
    <x v="0"/>
    <s v="Spirits"/>
    <n v="42598"/>
    <n v="593378"/>
    <n v="7.18"/>
  </r>
  <r>
    <x v="1"/>
    <x v="0"/>
    <x v="0"/>
    <s v="Spirits"/>
    <n v="165586"/>
    <n v="2455022"/>
    <n v="6.74"/>
  </r>
  <r>
    <x v="2"/>
    <x v="0"/>
    <x v="0"/>
    <s v="Spirits"/>
    <n v="301615"/>
    <n v="4634346"/>
    <n v="6.51"/>
  </r>
  <r>
    <x v="3"/>
    <x v="0"/>
    <x v="0"/>
    <s v="Spirits"/>
    <n v="169373"/>
    <n v="3015481"/>
    <n v="5.62"/>
  </r>
  <r>
    <x v="4"/>
    <x v="0"/>
    <x v="0"/>
    <s v="Spirits"/>
    <n v="1138752"/>
    <n v="17722275"/>
    <n v="6.43"/>
  </r>
  <r>
    <x v="5"/>
    <x v="0"/>
    <x v="0"/>
    <s v="Spirits"/>
    <n v="429348"/>
    <n v="10556100"/>
    <n v="4.07"/>
  </r>
  <r>
    <x v="6"/>
    <x v="0"/>
    <x v="0"/>
    <s v="Spirits"/>
    <n v="159884"/>
    <n v="2356231"/>
    <n v="6.79"/>
  </r>
  <r>
    <x v="7"/>
    <x v="0"/>
    <x v="0"/>
    <s v="Spirits"/>
    <n v="320233"/>
    <n v="3670568"/>
    <n v="8.7200000000000006"/>
  </r>
  <r>
    <x v="8"/>
    <x v="0"/>
    <x v="0"/>
    <s v="Spirits"/>
    <n v="260209"/>
    <n v="3807282"/>
    <n v="6.83"/>
  </r>
  <r>
    <x v="9"/>
    <x v="0"/>
    <x v="0"/>
    <s v="Spirits"/>
    <n v="213751"/>
    <n v="5815595"/>
    <n v="3.68"/>
  </r>
  <r>
    <x v="10"/>
    <x v="0"/>
    <x v="0"/>
    <s v="Spirits"/>
    <n v="260521"/>
    <n v="5037634"/>
    <n v="5.17"/>
  </r>
  <r>
    <x v="11"/>
    <x v="0"/>
    <x v="0"/>
    <s v="Spirits"/>
    <n v="50920"/>
    <n v="613251"/>
    <n v="8.3000000000000007"/>
  </r>
  <r>
    <x v="12"/>
    <x v="0"/>
    <x v="0"/>
    <s v="Spirits"/>
    <n v="1701992"/>
    <n v="22572383"/>
    <n v="7.54"/>
  </r>
  <r>
    <x v="13"/>
    <x v="0"/>
    <x v="0"/>
    <s v="Spirits"/>
    <n v="332039"/>
    <n v="7015247"/>
    <n v="4.7300000000000004"/>
  </r>
  <r>
    <x v="14"/>
    <x v="0"/>
    <x v="0"/>
    <s v="Spirits"/>
    <n v="570352"/>
    <n v="4805415"/>
    <n v="11.87"/>
  </r>
  <r>
    <x v="0"/>
    <x v="0"/>
    <x v="0"/>
    <s v="Wine"/>
    <n v="18124"/>
    <n v="593378"/>
    <n v="3.05"/>
  </r>
  <r>
    <x v="1"/>
    <x v="0"/>
    <x v="0"/>
    <s v="Wine"/>
    <n v="58236"/>
    <n v="2455022"/>
    <n v="2.37"/>
  </r>
  <r>
    <x v="2"/>
    <x v="0"/>
    <x v="0"/>
    <s v="Wine"/>
    <n v="147961"/>
    <n v="4634346"/>
    <n v="3.19"/>
  </r>
  <r>
    <x v="3"/>
    <x v="0"/>
    <x v="0"/>
    <s v="Wine"/>
    <n v="102520"/>
    <n v="3015481"/>
    <n v="3.4"/>
  </r>
  <r>
    <x v="4"/>
    <x v="0"/>
    <x v="0"/>
    <s v="Wine"/>
    <n v="736068"/>
    <n v="17722275"/>
    <n v="4.1500000000000004"/>
  </r>
  <r>
    <x v="5"/>
    <x v="0"/>
    <x v="0"/>
    <s v="Wine"/>
    <n v="272698"/>
    <n v="10556100"/>
    <n v="2.58"/>
  </r>
  <r>
    <x v="7"/>
    <x v="0"/>
    <x v="0"/>
    <s v="Wine"/>
    <n v="95011"/>
    <n v="3670568"/>
    <n v="2.59"/>
  </r>
  <r>
    <x v="8"/>
    <x v="0"/>
    <x v="0"/>
    <s v="Wine"/>
    <n v="89234"/>
    <n v="3807282"/>
    <n v="2.34"/>
  </r>
  <r>
    <x v="9"/>
    <x v="0"/>
    <x v="0"/>
    <s v="Wine"/>
    <n v="173229"/>
    <n v="5815595"/>
    <n v="2.98"/>
  </r>
  <r>
    <x v="10"/>
    <x v="0"/>
    <x v="0"/>
    <s v="Wine"/>
    <n v="125437"/>
    <n v="5037634"/>
    <n v="2.4900000000000002"/>
  </r>
  <r>
    <x v="11"/>
    <x v="0"/>
    <x v="0"/>
    <s v="Wine"/>
    <n v="12481"/>
    <n v="613251"/>
    <n v="2.04"/>
  </r>
  <r>
    <x v="15"/>
    <x v="0"/>
    <x v="0"/>
    <s v="Wine"/>
    <n v="190443"/>
    <n v="3468412"/>
    <n v="5.49"/>
  </r>
  <r>
    <x v="12"/>
    <x v="0"/>
    <x v="0"/>
    <s v="Wine"/>
    <n v="776833"/>
    <n v="22572383"/>
    <n v="3.44"/>
  </r>
  <r>
    <x v="13"/>
    <x v="0"/>
    <x v="0"/>
    <s v="Wine"/>
    <n v="242496"/>
    <n v="7015247"/>
    <n v="3.46"/>
  </r>
  <r>
    <x v="14"/>
    <x v="0"/>
    <x v="0"/>
    <s v="Wine"/>
    <n v="164756"/>
    <n v="4805415"/>
    <n v="3.43"/>
  </r>
  <r>
    <x v="0"/>
    <x v="0"/>
    <x v="0"/>
    <s v="Beer"/>
    <n v="35433"/>
    <n v="593378"/>
    <n v="5.97"/>
  </r>
  <r>
    <x v="1"/>
    <x v="0"/>
    <x v="0"/>
    <s v="Beer"/>
    <n v="153009"/>
    <n v="2455022"/>
    <n v="6.23"/>
  </r>
  <r>
    <x v="2"/>
    <x v="0"/>
    <x v="0"/>
    <s v="Beer"/>
    <n v="368146"/>
    <n v="4634346"/>
    <n v="7.94"/>
  </r>
  <r>
    <x v="3"/>
    <x v="0"/>
    <x v="0"/>
    <s v="Beer"/>
    <n v="155251"/>
    <n v="3015481"/>
    <n v="5.15"/>
  </r>
  <r>
    <x v="4"/>
    <x v="0"/>
    <x v="0"/>
    <s v="Beer"/>
    <n v="1359914"/>
    <n v="17722275"/>
    <n v="7.67"/>
  </r>
  <r>
    <x v="5"/>
    <x v="0"/>
    <x v="0"/>
    <s v="Beer"/>
    <n v="716525"/>
    <n v="10556100"/>
    <n v="6.79"/>
  </r>
  <r>
    <x v="6"/>
    <x v="0"/>
    <x v="0"/>
    <s v="Beer"/>
    <n v="187831"/>
    <n v="2356231"/>
    <n v="7.97"/>
  </r>
  <r>
    <x v="7"/>
    <x v="0"/>
    <x v="0"/>
    <s v="Beer"/>
    <n v="268180"/>
    <n v="3670568"/>
    <n v="7.31"/>
  </r>
  <r>
    <x v="9"/>
    <x v="0"/>
    <x v="0"/>
    <s v="Beer"/>
    <n v="368352"/>
    <n v="5815595"/>
    <n v="6.33"/>
  </r>
  <r>
    <x v="10"/>
    <x v="0"/>
    <x v="0"/>
    <s v="Beer"/>
    <n v="426348"/>
    <n v="5037634"/>
    <n v="8.4600000000000009"/>
  </r>
  <r>
    <x v="11"/>
    <x v="0"/>
    <x v="0"/>
    <s v="Beer"/>
    <n v="66605"/>
    <n v="613251"/>
    <n v="10.86"/>
  </r>
  <r>
    <x v="15"/>
    <x v="0"/>
    <x v="0"/>
    <s v="Beer"/>
    <n v="273318"/>
    <n v="3468412"/>
    <n v="7.88"/>
  </r>
  <r>
    <x v="12"/>
    <x v="0"/>
    <x v="0"/>
    <s v="Beer"/>
    <n v="2367432"/>
    <n v="22572383"/>
    <n v="10.49"/>
  </r>
  <r>
    <x v="13"/>
    <x v="0"/>
    <x v="0"/>
    <s v="Beer"/>
    <n v="462252"/>
    <n v="7015247"/>
    <n v="6.59"/>
  </r>
  <r>
    <x v="0"/>
    <x v="0"/>
    <x v="1"/>
    <s v="Spirits"/>
    <n v="49702"/>
    <n v="593378"/>
    <n v="8.3800000000000008"/>
  </r>
  <r>
    <x v="1"/>
    <x v="0"/>
    <x v="1"/>
    <s v="Spirits"/>
    <n v="105913"/>
    <n v="2455022"/>
    <n v="4.3099999999999996"/>
  </r>
  <r>
    <x v="2"/>
    <x v="0"/>
    <x v="1"/>
    <s v="Spirits"/>
    <n v="382023"/>
    <n v="4634346"/>
    <n v="8.24"/>
  </r>
  <r>
    <x v="3"/>
    <x v="0"/>
    <x v="1"/>
    <s v="Spirits"/>
    <n v="237533"/>
    <n v="3015481"/>
    <n v="7.88"/>
  </r>
  <r>
    <x v="4"/>
    <x v="0"/>
    <x v="1"/>
    <s v="Spirits"/>
    <n v="1407178"/>
    <n v="17722275"/>
    <n v="7.94"/>
  </r>
  <r>
    <x v="5"/>
    <x v="0"/>
    <x v="1"/>
    <s v="Spirits"/>
    <n v="583291"/>
    <n v="10556100"/>
    <n v="5.53"/>
  </r>
  <r>
    <x v="6"/>
    <x v="0"/>
    <x v="1"/>
    <s v="Spirits"/>
    <n v="132492"/>
    <n v="2356231"/>
    <n v="5.62"/>
  </r>
  <r>
    <x v="7"/>
    <x v="0"/>
    <x v="1"/>
    <s v="Spirits"/>
    <n v="108053"/>
    <n v="3670568"/>
    <n v="2.94"/>
  </r>
  <r>
    <x v="8"/>
    <x v="0"/>
    <x v="1"/>
    <s v="Spirits"/>
    <n v="287829"/>
    <n v="3807282"/>
    <n v="7.56"/>
  </r>
  <r>
    <x v="9"/>
    <x v="0"/>
    <x v="1"/>
    <s v="Spirits"/>
    <n v="334037"/>
    <n v="5815595"/>
    <n v="5.74"/>
  </r>
  <r>
    <x v="10"/>
    <x v="0"/>
    <x v="1"/>
    <s v="Spirits"/>
    <n v="392932"/>
    <n v="5037634"/>
    <n v="7.8"/>
  </r>
  <r>
    <x v="11"/>
    <x v="0"/>
    <x v="1"/>
    <s v="Spirits"/>
    <n v="56308"/>
    <n v="613251"/>
    <n v="9.18"/>
  </r>
  <r>
    <x v="12"/>
    <x v="0"/>
    <x v="1"/>
    <s v="Spirits"/>
    <n v="1218903"/>
    <n v="22572383"/>
    <n v="5.4"/>
  </r>
  <r>
    <x v="13"/>
    <x v="0"/>
    <x v="1"/>
    <s v="Spirits"/>
    <n v="341320"/>
    <n v="7015247"/>
    <n v="4.87"/>
  </r>
  <r>
    <x v="14"/>
    <x v="0"/>
    <x v="1"/>
    <s v="Spirits"/>
    <n v="365380"/>
    <n v="4805415"/>
    <n v="7.6"/>
  </r>
  <r>
    <x v="0"/>
    <x v="0"/>
    <x v="1"/>
    <s v="Wine"/>
    <n v="21036"/>
    <n v="593378"/>
    <n v="3.55"/>
  </r>
  <r>
    <x v="1"/>
    <x v="0"/>
    <x v="1"/>
    <s v="Wine"/>
    <n v="40011"/>
    <n v="2455022"/>
    <n v="1.63"/>
  </r>
  <r>
    <x v="2"/>
    <x v="0"/>
    <x v="1"/>
    <s v="Wine"/>
    <n v="191270"/>
    <n v="4634346"/>
    <n v="4.13"/>
  </r>
  <r>
    <x v="3"/>
    <x v="0"/>
    <x v="1"/>
    <s v="Wine"/>
    <n v="131972"/>
    <n v="3015481"/>
    <n v="4.38"/>
  </r>
  <r>
    <x v="4"/>
    <x v="0"/>
    <x v="1"/>
    <s v="Wine"/>
    <n v="820461"/>
    <n v="17722275"/>
    <n v="4.63"/>
  </r>
  <r>
    <x v="5"/>
    <x v="0"/>
    <x v="1"/>
    <s v="Wine"/>
    <n v="333649"/>
    <n v="10556100"/>
    <n v="3.16"/>
  </r>
  <r>
    <x v="7"/>
    <x v="0"/>
    <x v="1"/>
    <s v="Wine"/>
    <n v="31556"/>
    <n v="3670568"/>
    <n v="0.86"/>
  </r>
  <r>
    <x v="8"/>
    <x v="0"/>
    <x v="1"/>
    <s v="Wine"/>
    <n v="92590"/>
    <n v="3807282"/>
    <n v="2.4300000000000002"/>
  </r>
  <r>
    <x v="9"/>
    <x v="0"/>
    <x v="1"/>
    <s v="Wine"/>
    <n v="253180"/>
    <n v="5815595"/>
    <n v="4.3499999999999996"/>
  </r>
  <r>
    <x v="10"/>
    <x v="0"/>
    <x v="1"/>
    <s v="Wine"/>
    <n v="169287"/>
    <n v="5037634"/>
    <n v="3.36"/>
  </r>
  <r>
    <x v="11"/>
    <x v="0"/>
    <x v="1"/>
    <s v="Wine"/>
    <n v="13793"/>
    <n v="613251"/>
    <n v="2.25"/>
  </r>
  <r>
    <x v="15"/>
    <x v="0"/>
    <x v="1"/>
    <s v="Wine"/>
    <n v="140055"/>
    <n v="3468412"/>
    <n v="4.04"/>
  </r>
  <r>
    <x v="12"/>
    <x v="0"/>
    <x v="1"/>
    <s v="Wine"/>
    <n v="690589"/>
    <n v="22572383"/>
    <n v="3.06"/>
  </r>
  <r>
    <x v="13"/>
    <x v="0"/>
    <x v="1"/>
    <s v="Wine"/>
    <n v="245561"/>
    <n v="7015247"/>
    <n v="3.5"/>
  </r>
  <r>
    <x v="14"/>
    <x v="0"/>
    <x v="1"/>
    <s v="Wine"/>
    <n v="129870"/>
    <n v="4805415"/>
    <n v="2.7"/>
  </r>
  <r>
    <x v="0"/>
    <x v="0"/>
    <x v="1"/>
    <s v="Beer"/>
    <n v="38057"/>
    <n v="593378"/>
    <n v="6.41"/>
  </r>
  <r>
    <x v="1"/>
    <x v="0"/>
    <x v="1"/>
    <s v="Beer"/>
    <n v="158764"/>
    <n v="2455022"/>
    <n v="6.47"/>
  </r>
  <r>
    <x v="2"/>
    <x v="0"/>
    <x v="1"/>
    <s v="Beer"/>
    <n v="358632"/>
    <n v="4634346"/>
    <n v="7.74"/>
  </r>
  <r>
    <x v="3"/>
    <x v="0"/>
    <x v="1"/>
    <s v="Beer"/>
    <n v="160194"/>
    <n v="3015481"/>
    <n v="5.31"/>
  </r>
  <r>
    <x v="4"/>
    <x v="0"/>
    <x v="1"/>
    <s v="Beer"/>
    <n v="1428161"/>
    <n v="17722275"/>
    <n v="8.06"/>
  </r>
  <r>
    <x v="5"/>
    <x v="0"/>
    <x v="1"/>
    <s v="Beer"/>
    <n v="756099"/>
    <n v="10556100"/>
    <n v="7.16"/>
  </r>
  <r>
    <x v="6"/>
    <x v="0"/>
    <x v="1"/>
    <s v="Beer"/>
    <n v="174181"/>
    <n v="2356231"/>
    <n v="7.39"/>
  </r>
  <r>
    <x v="7"/>
    <x v="0"/>
    <x v="1"/>
    <s v="Beer"/>
    <n v="204005"/>
    <n v="3670568"/>
    <n v="5.56"/>
  </r>
  <r>
    <x v="9"/>
    <x v="0"/>
    <x v="1"/>
    <s v="Beer"/>
    <n v="351420"/>
    <n v="5815595"/>
    <n v="6.04"/>
  </r>
  <r>
    <x v="10"/>
    <x v="0"/>
    <x v="1"/>
    <s v="Beer"/>
    <n v="405457"/>
    <n v="5037634"/>
    <n v="8.0500000000000007"/>
  </r>
  <r>
    <x v="11"/>
    <x v="0"/>
    <x v="1"/>
    <s v="Beer"/>
    <n v="67286"/>
    <n v="613251"/>
    <n v="10.97"/>
  </r>
  <r>
    <x v="15"/>
    <x v="0"/>
    <x v="1"/>
    <s v="Beer"/>
    <n v="295260"/>
    <n v="3468412"/>
    <n v="8.51"/>
  </r>
  <r>
    <x v="12"/>
    <x v="0"/>
    <x v="1"/>
    <s v="Beer"/>
    <n v="1813147"/>
    <n v="22572383"/>
    <n v="8.0299999999999994"/>
  </r>
  <r>
    <x v="13"/>
    <x v="0"/>
    <x v="1"/>
    <s v="Beer"/>
    <n v="461777"/>
    <n v="7015247"/>
    <n v="6.58"/>
  </r>
  <r>
    <x v="0"/>
    <x v="0"/>
    <x v="2"/>
    <s v="Spirits"/>
    <n v="57964"/>
    <n v="593378"/>
    <n v="9.77"/>
  </r>
  <r>
    <x v="1"/>
    <x v="0"/>
    <x v="2"/>
    <s v="Spirits"/>
    <n v="118781"/>
    <n v="2455022"/>
    <n v="4.84"/>
  </r>
  <r>
    <x v="2"/>
    <x v="0"/>
    <x v="2"/>
    <s v="Spirits"/>
    <n v="474470"/>
    <n v="4634346"/>
    <n v="10.24"/>
  </r>
  <r>
    <x v="3"/>
    <x v="0"/>
    <x v="2"/>
    <s v="Spirits"/>
    <n v="238969"/>
    <n v="3015481"/>
    <n v="7.92"/>
  </r>
  <r>
    <x v="4"/>
    <x v="0"/>
    <x v="2"/>
    <s v="Spirits"/>
    <n v="1733278"/>
    <n v="17722275"/>
    <n v="9.7799999999999994"/>
  </r>
  <r>
    <x v="5"/>
    <x v="0"/>
    <x v="2"/>
    <s v="Spirits"/>
    <n v="726247"/>
    <n v="10556100"/>
    <n v="6.88"/>
  </r>
  <r>
    <x v="6"/>
    <x v="0"/>
    <x v="2"/>
    <s v="Spirits"/>
    <n v="141872"/>
    <n v="2356231"/>
    <n v="6.02"/>
  </r>
  <r>
    <x v="7"/>
    <x v="0"/>
    <x v="2"/>
    <s v="Spirits"/>
    <n v="279932"/>
    <n v="3670568"/>
    <n v="7.63"/>
  </r>
  <r>
    <x v="8"/>
    <x v="0"/>
    <x v="2"/>
    <s v="Spirits"/>
    <n v="334601"/>
    <n v="3807282"/>
    <n v="8.7899999999999991"/>
  </r>
  <r>
    <x v="9"/>
    <x v="0"/>
    <x v="2"/>
    <s v="Spirits"/>
    <n v="498341"/>
    <n v="5815595"/>
    <n v="8.57"/>
  </r>
  <r>
    <x v="10"/>
    <x v="0"/>
    <x v="2"/>
    <s v="Spirits"/>
    <n v="437490"/>
    <n v="5037634"/>
    <n v="8.68"/>
  </r>
  <r>
    <x v="11"/>
    <x v="0"/>
    <x v="2"/>
    <s v="Spirits"/>
    <n v="66611"/>
    <n v="613251"/>
    <n v="10.86"/>
  </r>
  <r>
    <x v="12"/>
    <x v="0"/>
    <x v="2"/>
    <s v="Spirits"/>
    <n v="1066977"/>
    <n v="22572383"/>
    <n v="4.7300000000000004"/>
  </r>
  <r>
    <x v="13"/>
    <x v="0"/>
    <x v="2"/>
    <s v="Spirits"/>
    <n v="387968"/>
    <n v="7015247"/>
    <n v="5.53"/>
  </r>
  <r>
    <x v="14"/>
    <x v="0"/>
    <x v="2"/>
    <s v="Spirits"/>
    <n v="377881"/>
    <n v="4805415"/>
    <n v="7.86"/>
  </r>
  <r>
    <x v="0"/>
    <x v="0"/>
    <x v="2"/>
    <s v="Wine"/>
    <n v="26799"/>
    <n v="593378"/>
    <n v="4.5199999999999996"/>
  </r>
  <r>
    <x v="1"/>
    <x v="0"/>
    <x v="2"/>
    <s v="Wine"/>
    <n v="39087"/>
    <n v="2455022"/>
    <n v="1.59"/>
  </r>
  <r>
    <x v="2"/>
    <x v="0"/>
    <x v="2"/>
    <s v="Wine"/>
    <n v="195612"/>
    <n v="4634346"/>
    <n v="4.22"/>
  </r>
  <r>
    <x v="3"/>
    <x v="0"/>
    <x v="2"/>
    <s v="Wine"/>
    <n v="167437"/>
    <n v="3015481"/>
    <n v="5.55"/>
  </r>
  <r>
    <x v="4"/>
    <x v="0"/>
    <x v="2"/>
    <s v="Wine"/>
    <n v="929590"/>
    <n v="17722275"/>
    <n v="5.25"/>
  </r>
  <r>
    <x v="5"/>
    <x v="0"/>
    <x v="2"/>
    <s v="Wine"/>
    <n v="387984"/>
    <n v="10556100"/>
    <n v="3.68"/>
  </r>
  <r>
    <x v="7"/>
    <x v="0"/>
    <x v="2"/>
    <s v="Wine"/>
    <n v="41329"/>
    <n v="3670568"/>
    <n v="1.1299999999999999"/>
  </r>
  <r>
    <x v="8"/>
    <x v="0"/>
    <x v="2"/>
    <s v="Wine"/>
    <n v="109602"/>
    <n v="3807282"/>
    <n v="2.88"/>
  </r>
  <r>
    <x v="9"/>
    <x v="0"/>
    <x v="2"/>
    <s v="Wine"/>
    <n v="351241"/>
    <n v="5815595"/>
    <n v="6.04"/>
  </r>
  <r>
    <x v="10"/>
    <x v="0"/>
    <x v="2"/>
    <s v="Wine"/>
    <n v="172919"/>
    <n v="5037634"/>
    <n v="3.43"/>
  </r>
  <r>
    <x v="11"/>
    <x v="0"/>
    <x v="2"/>
    <s v="Wine"/>
    <n v="16270"/>
    <n v="613251"/>
    <n v="2.65"/>
  </r>
  <r>
    <x v="15"/>
    <x v="0"/>
    <x v="2"/>
    <s v="Wine"/>
    <n v="165787"/>
    <n v="3468412"/>
    <n v="4.78"/>
  </r>
  <r>
    <x v="12"/>
    <x v="0"/>
    <x v="2"/>
    <s v="Wine"/>
    <n v="600989"/>
    <n v="22572383"/>
    <n v="2.66"/>
  </r>
  <r>
    <x v="13"/>
    <x v="0"/>
    <x v="2"/>
    <s v="Wine"/>
    <n v="284476"/>
    <n v="7015247"/>
    <n v="4.0599999999999996"/>
  </r>
  <r>
    <x v="14"/>
    <x v="0"/>
    <x v="2"/>
    <s v="Wine"/>
    <n v="131897"/>
    <n v="4805415"/>
    <n v="2.74"/>
  </r>
  <r>
    <x v="0"/>
    <x v="0"/>
    <x v="2"/>
    <s v="Beer"/>
    <n v="49693"/>
    <n v="593378"/>
    <n v="8.3699999999999992"/>
  </r>
  <r>
    <x v="1"/>
    <x v="0"/>
    <x v="2"/>
    <s v="Beer"/>
    <n v="169689"/>
    <n v="2455022"/>
    <n v="6.91"/>
  </r>
  <r>
    <x v="2"/>
    <x v="0"/>
    <x v="2"/>
    <s v="Beer"/>
    <n v="443169"/>
    <n v="4634346"/>
    <n v="9.56"/>
  </r>
  <r>
    <x v="3"/>
    <x v="0"/>
    <x v="2"/>
    <s v="Beer"/>
    <n v="193183"/>
    <n v="3015481"/>
    <n v="6.41"/>
  </r>
  <r>
    <x v="4"/>
    <x v="0"/>
    <x v="2"/>
    <s v="Beer"/>
    <n v="1819369"/>
    <n v="17722275"/>
    <n v="10.27"/>
  </r>
  <r>
    <x v="5"/>
    <x v="0"/>
    <x v="2"/>
    <s v="Beer"/>
    <n v="946462"/>
    <n v="10556100"/>
    <n v="8.9700000000000006"/>
  </r>
  <r>
    <x v="6"/>
    <x v="0"/>
    <x v="2"/>
    <s v="Beer"/>
    <n v="175160"/>
    <n v="2356231"/>
    <n v="7.43"/>
  </r>
  <r>
    <x v="7"/>
    <x v="0"/>
    <x v="2"/>
    <s v="Beer"/>
    <n v="282885"/>
    <n v="3670568"/>
    <n v="7.71"/>
  </r>
  <r>
    <x v="9"/>
    <x v="0"/>
    <x v="2"/>
    <s v="Beer"/>
    <n v="471045"/>
    <n v="5815595"/>
    <n v="8.1"/>
  </r>
  <r>
    <x v="10"/>
    <x v="0"/>
    <x v="2"/>
    <s v="Beer"/>
    <n v="500537"/>
    <n v="5037634"/>
    <n v="9.94"/>
  </r>
  <r>
    <x v="11"/>
    <x v="0"/>
    <x v="2"/>
    <s v="Beer"/>
    <n v="71916"/>
    <n v="613251"/>
    <n v="11.73"/>
  </r>
  <r>
    <x v="15"/>
    <x v="0"/>
    <x v="2"/>
    <s v="Beer"/>
    <n v="315050"/>
    <n v="3468412"/>
    <n v="9.08"/>
  </r>
  <r>
    <x v="12"/>
    <x v="0"/>
    <x v="2"/>
    <s v="Beer"/>
    <n v="1927873"/>
    <n v="22572383"/>
    <n v="8.5399999999999991"/>
  </r>
  <r>
    <x v="13"/>
    <x v="0"/>
    <x v="2"/>
    <s v="Beer"/>
    <n v="552583"/>
    <n v="7015247"/>
    <n v="7.88"/>
  </r>
  <r>
    <x v="0"/>
    <x v="0"/>
    <x v="3"/>
    <s v="Spirits"/>
    <n v="54136"/>
    <n v="593378"/>
    <n v="9.1199999999999992"/>
  </r>
  <r>
    <x v="1"/>
    <x v="0"/>
    <x v="3"/>
    <s v="Spirits"/>
    <n v="134302"/>
    <n v="2455022"/>
    <n v="5.47"/>
  </r>
  <r>
    <x v="2"/>
    <x v="0"/>
    <x v="3"/>
    <s v="Spirits"/>
    <n v="388608"/>
    <n v="4634346"/>
    <n v="8.39"/>
  </r>
  <r>
    <x v="3"/>
    <x v="0"/>
    <x v="3"/>
    <s v="Spirits"/>
    <n v="218000"/>
    <n v="3015481"/>
    <n v="7.23"/>
  </r>
  <r>
    <x v="4"/>
    <x v="0"/>
    <x v="3"/>
    <s v="Spirits"/>
    <n v="1323471"/>
    <n v="17722275"/>
    <n v="7.47"/>
  </r>
  <r>
    <x v="5"/>
    <x v="0"/>
    <x v="3"/>
    <s v="Spirits"/>
    <n v="610879"/>
    <n v="10556100"/>
    <n v="5.79"/>
  </r>
  <r>
    <x v="6"/>
    <x v="0"/>
    <x v="3"/>
    <s v="Spirits"/>
    <n v="162154"/>
    <n v="2356231"/>
    <n v="6.88"/>
  </r>
  <r>
    <x v="7"/>
    <x v="0"/>
    <x v="3"/>
    <s v="Spirits"/>
    <n v="259637"/>
    <n v="3670568"/>
    <n v="7.07"/>
  </r>
  <r>
    <x v="8"/>
    <x v="0"/>
    <x v="3"/>
    <s v="Spirits"/>
    <n v="299964"/>
    <n v="3807282"/>
    <n v="7.88"/>
  </r>
  <r>
    <x v="9"/>
    <x v="0"/>
    <x v="3"/>
    <s v="Spirits"/>
    <n v="414389"/>
    <n v="5815595"/>
    <n v="7.13"/>
  </r>
  <r>
    <x v="10"/>
    <x v="0"/>
    <x v="3"/>
    <s v="Spirits"/>
    <n v="402845"/>
    <n v="5037634"/>
    <n v="8"/>
  </r>
  <r>
    <x v="11"/>
    <x v="0"/>
    <x v="3"/>
    <s v="Spirits"/>
    <n v="55319"/>
    <n v="613251"/>
    <n v="9.02"/>
  </r>
  <r>
    <x v="12"/>
    <x v="0"/>
    <x v="3"/>
    <s v="Spirits"/>
    <n v="1278104"/>
    <n v="22572383"/>
    <n v="5.66"/>
  </r>
  <r>
    <x v="13"/>
    <x v="0"/>
    <x v="3"/>
    <s v="Spirits"/>
    <n v="369694"/>
    <n v="7015247"/>
    <n v="5.27"/>
  </r>
  <r>
    <x v="14"/>
    <x v="0"/>
    <x v="3"/>
    <s v="Spirits"/>
    <n v="574748"/>
    <n v="4805415"/>
    <n v="11.96"/>
  </r>
  <r>
    <x v="0"/>
    <x v="0"/>
    <x v="3"/>
    <s v="Wine"/>
    <n v="21468"/>
    <n v="593378"/>
    <n v="3.62"/>
  </r>
  <r>
    <x v="1"/>
    <x v="0"/>
    <x v="3"/>
    <s v="Wine"/>
    <n v="47630"/>
    <n v="2455022"/>
    <n v="1.94"/>
  </r>
  <r>
    <x v="2"/>
    <x v="0"/>
    <x v="3"/>
    <s v="Wine"/>
    <n v="177513"/>
    <n v="4634346"/>
    <n v="3.83"/>
  </r>
  <r>
    <x v="3"/>
    <x v="0"/>
    <x v="3"/>
    <s v="Wine"/>
    <n v="138120"/>
    <n v="3015481"/>
    <n v="4.58"/>
  </r>
  <r>
    <x v="4"/>
    <x v="0"/>
    <x v="3"/>
    <s v="Wine"/>
    <n v="769871"/>
    <n v="17722275"/>
    <n v="4.34"/>
  </r>
  <r>
    <x v="5"/>
    <x v="0"/>
    <x v="3"/>
    <s v="Wine"/>
    <n v="348096"/>
    <n v="10556100"/>
    <n v="3.3"/>
  </r>
  <r>
    <x v="7"/>
    <x v="0"/>
    <x v="3"/>
    <s v="Wine"/>
    <n v="67491"/>
    <n v="3670568"/>
    <n v="1.84"/>
  </r>
  <r>
    <x v="8"/>
    <x v="0"/>
    <x v="3"/>
    <s v="Wine"/>
    <n v="98460"/>
    <n v="3807282"/>
    <n v="2.59"/>
  </r>
  <r>
    <x v="9"/>
    <x v="0"/>
    <x v="3"/>
    <s v="Wine"/>
    <n v="300088"/>
    <n v="5815595"/>
    <n v="5.16"/>
  </r>
  <r>
    <x v="10"/>
    <x v="0"/>
    <x v="3"/>
    <s v="Wine"/>
    <n v="137780"/>
    <n v="5037634"/>
    <n v="2.74"/>
  </r>
  <r>
    <x v="11"/>
    <x v="0"/>
    <x v="3"/>
    <s v="Wine"/>
    <n v="20683"/>
    <n v="613251"/>
    <n v="3.37"/>
  </r>
  <r>
    <x v="15"/>
    <x v="0"/>
    <x v="3"/>
    <s v="Wine"/>
    <n v="188184"/>
    <n v="3468412"/>
    <n v="5.43"/>
  </r>
  <r>
    <x v="12"/>
    <x v="0"/>
    <x v="3"/>
    <s v="Wine"/>
    <n v="642837"/>
    <n v="22572383"/>
    <n v="2.85"/>
  </r>
  <r>
    <x v="13"/>
    <x v="0"/>
    <x v="3"/>
    <s v="Wine"/>
    <n v="264406"/>
    <n v="7015247"/>
    <n v="3.77"/>
  </r>
  <r>
    <x v="14"/>
    <x v="0"/>
    <x v="3"/>
    <s v="Wine"/>
    <n v="168916"/>
    <n v="4805415"/>
    <n v="3.52"/>
  </r>
  <r>
    <x v="0"/>
    <x v="0"/>
    <x v="3"/>
    <s v="Beer"/>
    <n v="48108"/>
    <n v="593378"/>
    <n v="8.11"/>
  </r>
  <r>
    <x v="1"/>
    <x v="0"/>
    <x v="3"/>
    <s v="Beer"/>
    <n v="184745"/>
    <n v="2455022"/>
    <n v="7.53"/>
  </r>
  <r>
    <x v="2"/>
    <x v="0"/>
    <x v="3"/>
    <s v="Beer"/>
    <n v="402741"/>
    <n v="4634346"/>
    <n v="8.69"/>
  </r>
  <r>
    <x v="3"/>
    <x v="0"/>
    <x v="3"/>
    <s v="Beer"/>
    <n v="194802"/>
    <n v="3015481"/>
    <n v="6.46"/>
  </r>
  <r>
    <x v="4"/>
    <x v="0"/>
    <x v="3"/>
    <s v="Beer"/>
    <n v="1612246"/>
    <n v="17722275"/>
    <n v="9.1"/>
  </r>
  <r>
    <x v="5"/>
    <x v="0"/>
    <x v="3"/>
    <s v="Beer"/>
    <n v="914762"/>
    <n v="10556100"/>
    <n v="8.67"/>
  </r>
  <r>
    <x v="6"/>
    <x v="0"/>
    <x v="3"/>
    <s v="Beer"/>
    <n v="216671"/>
    <n v="2356231"/>
    <n v="9.1999999999999993"/>
  </r>
  <r>
    <x v="7"/>
    <x v="0"/>
    <x v="3"/>
    <s v="Beer"/>
    <n v="301052"/>
    <n v="3670568"/>
    <n v="8.1999999999999993"/>
  </r>
  <r>
    <x v="9"/>
    <x v="0"/>
    <x v="3"/>
    <s v="Beer"/>
    <n v="458262"/>
    <n v="5815595"/>
    <n v="7.88"/>
  </r>
  <r>
    <x v="10"/>
    <x v="0"/>
    <x v="3"/>
    <s v="Beer"/>
    <n v="490645"/>
    <n v="5037634"/>
    <n v="9.74"/>
  </r>
  <r>
    <x v="11"/>
    <x v="0"/>
    <x v="3"/>
    <s v="Beer"/>
    <n v="87042"/>
    <n v="613251"/>
    <n v="14.19"/>
  </r>
  <r>
    <x v="15"/>
    <x v="0"/>
    <x v="3"/>
    <s v="Beer"/>
    <n v="402710"/>
    <n v="3468412"/>
    <n v="11.61"/>
  </r>
  <r>
    <x v="12"/>
    <x v="0"/>
    <x v="3"/>
    <s v="Beer"/>
    <n v="2519299"/>
    <n v="22572383"/>
    <n v="11.16"/>
  </r>
  <r>
    <x v="13"/>
    <x v="0"/>
    <x v="3"/>
    <s v="Beer"/>
    <n v="537029"/>
    <n v="7015247"/>
    <n v="7.66"/>
  </r>
  <r>
    <x v="0"/>
    <x v="0"/>
    <x v="4"/>
    <s v="Spirits"/>
    <n v="65009"/>
    <n v="593378"/>
    <n v="10.96"/>
  </r>
  <r>
    <x v="1"/>
    <x v="0"/>
    <x v="4"/>
    <s v="Spirits"/>
    <n v="119635"/>
    <n v="2455022"/>
    <n v="4.87"/>
  </r>
  <r>
    <x v="2"/>
    <x v="0"/>
    <x v="4"/>
    <s v="Spirits"/>
    <n v="483545"/>
    <n v="4634346"/>
    <n v="10.43"/>
  </r>
  <r>
    <x v="3"/>
    <x v="0"/>
    <x v="4"/>
    <s v="Spirits"/>
    <n v="266423"/>
    <n v="3015481"/>
    <n v="8.84"/>
  </r>
  <r>
    <x v="4"/>
    <x v="0"/>
    <x v="4"/>
    <s v="Spirits"/>
    <n v="1611285"/>
    <n v="17722275"/>
    <n v="9.09"/>
  </r>
  <r>
    <x v="5"/>
    <x v="0"/>
    <x v="4"/>
    <s v="Spirits"/>
    <n v="839733"/>
    <n v="10556100"/>
    <n v="7.95"/>
  </r>
  <r>
    <x v="6"/>
    <x v="0"/>
    <x v="4"/>
    <s v="Spirits"/>
    <n v="141906"/>
    <n v="2356231"/>
    <n v="6.02"/>
  </r>
  <r>
    <x v="7"/>
    <x v="0"/>
    <x v="4"/>
    <s v="Spirits"/>
    <n v="235849"/>
    <n v="3670568"/>
    <n v="6.43"/>
  </r>
  <r>
    <x v="8"/>
    <x v="0"/>
    <x v="4"/>
    <s v="Spirits"/>
    <n v="328676"/>
    <n v="3807282"/>
    <n v="8.6300000000000008"/>
  </r>
  <r>
    <x v="9"/>
    <x v="0"/>
    <x v="4"/>
    <s v="Spirits"/>
    <n v="521332"/>
    <n v="5815595"/>
    <n v="8.9600000000000009"/>
  </r>
  <r>
    <x v="10"/>
    <x v="0"/>
    <x v="4"/>
    <s v="Spirits"/>
    <n v="446983"/>
    <n v="5037634"/>
    <n v="8.8699999999999992"/>
  </r>
  <r>
    <x v="11"/>
    <x v="0"/>
    <x v="4"/>
    <s v="Spirits"/>
    <n v="73128"/>
    <n v="613251"/>
    <n v="11.92"/>
  </r>
  <r>
    <x v="12"/>
    <x v="0"/>
    <x v="4"/>
    <s v="Spirits"/>
    <n v="1340708"/>
    <n v="22572383"/>
    <n v="5.94"/>
  </r>
  <r>
    <x v="13"/>
    <x v="0"/>
    <x v="4"/>
    <s v="Spirits"/>
    <n v="400681"/>
    <n v="7015247"/>
    <n v="5.71"/>
  </r>
  <r>
    <x v="14"/>
    <x v="0"/>
    <x v="4"/>
    <s v="Spirits"/>
    <n v="438642"/>
    <n v="4805415"/>
    <n v="9.1300000000000008"/>
  </r>
  <r>
    <x v="0"/>
    <x v="0"/>
    <x v="4"/>
    <s v="Wine"/>
    <n v="29093"/>
    <n v="593378"/>
    <n v="4.9000000000000004"/>
  </r>
  <r>
    <x v="1"/>
    <x v="0"/>
    <x v="4"/>
    <s v="Wine"/>
    <n v="41613"/>
    <n v="2455022"/>
    <n v="1.7"/>
  </r>
  <r>
    <x v="2"/>
    <x v="0"/>
    <x v="4"/>
    <s v="Wine"/>
    <n v="197129"/>
    <n v="4634346"/>
    <n v="4.25"/>
  </r>
  <r>
    <x v="3"/>
    <x v="0"/>
    <x v="4"/>
    <s v="Wine"/>
    <n v="153124"/>
    <n v="3015481"/>
    <n v="5.08"/>
  </r>
  <r>
    <x v="4"/>
    <x v="0"/>
    <x v="4"/>
    <s v="Wine"/>
    <n v="729941"/>
    <n v="17722275"/>
    <n v="4.12"/>
  </r>
  <r>
    <x v="5"/>
    <x v="0"/>
    <x v="4"/>
    <s v="Wine"/>
    <n v="412985"/>
    <n v="10556100"/>
    <n v="3.91"/>
  </r>
  <r>
    <x v="7"/>
    <x v="0"/>
    <x v="4"/>
    <s v="Wine"/>
    <n v="64019"/>
    <n v="3670568"/>
    <n v="1.74"/>
  </r>
  <r>
    <x v="8"/>
    <x v="0"/>
    <x v="4"/>
    <s v="Wine"/>
    <n v="106659"/>
    <n v="3807282"/>
    <n v="2.8"/>
  </r>
  <r>
    <x v="9"/>
    <x v="0"/>
    <x v="4"/>
    <s v="Wine"/>
    <n v="326913"/>
    <n v="5815595"/>
    <n v="5.62"/>
  </r>
  <r>
    <x v="10"/>
    <x v="0"/>
    <x v="4"/>
    <s v="Wine"/>
    <n v="153723"/>
    <n v="5037634"/>
    <n v="3.05"/>
  </r>
  <r>
    <x v="11"/>
    <x v="0"/>
    <x v="4"/>
    <s v="Wine"/>
    <n v="15738"/>
    <n v="613251"/>
    <n v="2.57"/>
  </r>
  <r>
    <x v="15"/>
    <x v="0"/>
    <x v="4"/>
    <s v="Wine"/>
    <n v="143717"/>
    <n v="3468412"/>
    <n v="4.1399999999999997"/>
  </r>
  <r>
    <x v="12"/>
    <x v="0"/>
    <x v="4"/>
    <s v="Wine"/>
    <n v="589272"/>
    <n v="22572383"/>
    <n v="2.61"/>
  </r>
  <r>
    <x v="13"/>
    <x v="0"/>
    <x v="4"/>
    <s v="Wine"/>
    <n v="293784"/>
    <n v="7015247"/>
    <n v="4.1900000000000004"/>
  </r>
  <r>
    <x v="14"/>
    <x v="0"/>
    <x v="4"/>
    <s v="Wine"/>
    <n v="139058"/>
    <n v="4805415"/>
    <n v="2.89"/>
  </r>
  <r>
    <x v="0"/>
    <x v="0"/>
    <x v="4"/>
    <s v="Beer"/>
    <n v="65609"/>
    <n v="593378"/>
    <n v="11.06"/>
  </r>
  <r>
    <x v="1"/>
    <x v="0"/>
    <x v="4"/>
    <s v="Beer"/>
    <n v="197455"/>
    <n v="2455022"/>
    <n v="8.0399999999999991"/>
  </r>
  <r>
    <x v="2"/>
    <x v="0"/>
    <x v="4"/>
    <s v="Beer"/>
    <n v="480823"/>
    <n v="4634346"/>
    <n v="10.38"/>
  </r>
  <r>
    <x v="3"/>
    <x v="0"/>
    <x v="4"/>
    <s v="Beer"/>
    <n v="234447"/>
    <n v="3015481"/>
    <n v="7.77"/>
  </r>
  <r>
    <x v="4"/>
    <x v="0"/>
    <x v="4"/>
    <s v="Beer"/>
    <n v="1732001"/>
    <n v="17722275"/>
    <n v="9.77"/>
  </r>
  <r>
    <x v="5"/>
    <x v="0"/>
    <x v="4"/>
    <s v="Beer"/>
    <n v="1130691"/>
    <n v="10556100"/>
    <n v="10.71"/>
  </r>
  <r>
    <x v="6"/>
    <x v="0"/>
    <x v="4"/>
    <s v="Beer"/>
    <n v="190116"/>
    <n v="2356231"/>
    <n v="8.07"/>
  </r>
  <r>
    <x v="7"/>
    <x v="0"/>
    <x v="4"/>
    <s v="Beer"/>
    <n v="269277"/>
    <n v="3670568"/>
    <n v="7.34"/>
  </r>
  <r>
    <x v="9"/>
    <x v="0"/>
    <x v="4"/>
    <s v="Beer"/>
    <n v="547143"/>
    <n v="5815595"/>
    <n v="9.41"/>
  </r>
  <r>
    <x v="10"/>
    <x v="0"/>
    <x v="4"/>
    <s v="Beer"/>
    <n v="546178"/>
    <n v="5037634"/>
    <n v="10.84"/>
  </r>
  <r>
    <x v="11"/>
    <x v="0"/>
    <x v="4"/>
    <s v="Beer"/>
    <n v="95223"/>
    <n v="613251"/>
    <n v="15.53"/>
  </r>
  <r>
    <x v="15"/>
    <x v="0"/>
    <x v="4"/>
    <s v="Beer"/>
    <n v="324285"/>
    <n v="3468412"/>
    <n v="9.35"/>
  </r>
  <r>
    <x v="12"/>
    <x v="0"/>
    <x v="4"/>
    <s v="Beer"/>
    <n v="2230238"/>
    <n v="22572383"/>
    <n v="9.8800000000000008"/>
  </r>
  <r>
    <x v="13"/>
    <x v="0"/>
    <x v="4"/>
    <s v="Beer"/>
    <n v="657746"/>
    <n v="7015247"/>
    <n v="9.3800000000000008"/>
  </r>
  <r>
    <x v="0"/>
    <x v="0"/>
    <x v="5"/>
    <s v="Spirits"/>
    <n v="74444"/>
    <n v="593378"/>
    <n v="12.55"/>
  </r>
  <r>
    <x v="1"/>
    <x v="0"/>
    <x v="5"/>
    <s v="Spirits"/>
    <n v="134789"/>
    <n v="2455022"/>
    <n v="5.49"/>
  </r>
  <r>
    <x v="2"/>
    <x v="0"/>
    <x v="5"/>
    <s v="Spirits"/>
    <n v="591260"/>
    <n v="4634346"/>
    <n v="12.76"/>
  </r>
  <r>
    <x v="3"/>
    <x v="0"/>
    <x v="5"/>
    <s v="Spirits"/>
    <n v="315753"/>
    <n v="3015481"/>
    <n v="10.47"/>
  </r>
  <r>
    <x v="4"/>
    <x v="0"/>
    <x v="5"/>
    <s v="Spirits"/>
    <n v="1891872"/>
    <n v="17722275"/>
    <n v="10.68"/>
  </r>
  <r>
    <x v="5"/>
    <x v="0"/>
    <x v="5"/>
    <s v="Spirits"/>
    <n v="969247"/>
    <n v="10556100"/>
    <n v="9.18"/>
  </r>
  <r>
    <x v="6"/>
    <x v="0"/>
    <x v="5"/>
    <s v="Spirits"/>
    <n v="155343"/>
    <n v="2356231"/>
    <n v="6.59"/>
  </r>
  <r>
    <x v="7"/>
    <x v="0"/>
    <x v="5"/>
    <s v="Spirits"/>
    <n v="267204"/>
    <n v="3670568"/>
    <n v="7.28"/>
  </r>
  <r>
    <x v="8"/>
    <x v="0"/>
    <x v="5"/>
    <s v="Spirits"/>
    <n v="357440"/>
    <n v="3807282"/>
    <n v="9.39"/>
  </r>
  <r>
    <x v="9"/>
    <x v="0"/>
    <x v="5"/>
    <s v="Spirits"/>
    <n v="774198"/>
    <n v="5815595"/>
    <n v="13.31"/>
  </r>
  <r>
    <x v="10"/>
    <x v="0"/>
    <x v="5"/>
    <s v="Spirits"/>
    <n v="490417"/>
    <n v="5037634"/>
    <n v="9.74"/>
  </r>
  <r>
    <x v="11"/>
    <x v="0"/>
    <x v="5"/>
    <s v="Spirits"/>
    <n v="82648"/>
    <n v="613251"/>
    <n v="13.48"/>
  </r>
  <r>
    <x v="12"/>
    <x v="0"/>
    <x v="5"/>
    <s v="Spirits"/>
    <n v="1325485"/>
    <n v="22572383"/>
    <n v="5.87"/>
  </r>
  <r>
    <x v="13"/>
    <x v="0"/>
    <x v="5"/>
    <s v="Spirits"/>
    <n v="397435"/>
    <n v="7015247"/>
    <n v="5.67"/>
  </r>
  <r>
    <x v="14"/>
    <x v="0"/>
    <x v="5"/>
    <s v="Spirits"/>
    <n v="582305"/>
    <n v="4805415"/>
    <n v="12.12"/>
  </r>
  <r>
    <x v="0"/>
    <x v="0"/>
    <x v="5"/>
    <s v="Wine"/>
    <n v="32537"/>
    <n v="593378"/>
    <n v="5.48"/>
  </r>
  <r>
    <x v="1"/>
    <x v="0"/>
    <x v="5"/>
    <s v="Wine"/>
    <n v="42600"/>
    <n v="2455022"/>
    <n v="1.74"/>
  </r>
  <r>
    <x v="2"/>
    <x v="0"/>
    <x v="5"/>
    <s v="Wine"/>
    <n v="220427"/>
    <n v="4634346"/>
    <n v="4.76"/>
  </r>
  <r>
    <x v="3"/>
    <x v="0"/>
    <x v="5"/>
    <s v="Wine"/>
    <n v="167489"/>
    <n v="3015481"/>
    <n v="5.55"/>
  </r>
  <r>
    <x v="4"/>
    <x v="0"/>
    <x v="5"/>
    <s v="Wine"/>
    <n v="735562"/>
    <n v="17722275"/>
    <n v="4.1500000000000004"/>
  </r>
  <r>
    <x v="5"/>
    <x v="0"/>
    <x v="5"/>
    <s v="Wine"/>
    <n v="449843"/>
    <n v="10556100"/>
    <n v="4.26"/>
  </r>
  <r>
    <x v="7"/>
    <x v="0"/>
    <x v="5"/>
    <s v="Wine"/>
    <n v="68487"/>
    <n v="3670568"/>
    <n v="1.87"/>
  </r>
  <r>
    <x v="8"/>
    <x v="0"/>
    <x v="5"/>
    <s v="Wine"/>
    <n v="110536"/>
    <n v="3807282"/>
    <n v="2.9"/>
  </r>
  <r>
    <x v="9"/>
    <x v="0"/>
    <x v="5"/>
    <s v="Wine"/>
    <n v="422090"/>
    <n v="5815595"/>
    <n v="7.26"/>
  </r>
  <r>
    <x v="10"/>
    <x v="0"/>
    <x v="5"/>
    <s v="Wine"/>
    <n v="183374"/>
    <n v="5037634"/>
    <n v="3.64"/>
  </r>
  <r>
    <x v="11"/>
    <x v="0"/>
    <x v="5"/>
    <s v="Wine"/>
    <n v="15844"/>
    <n v="613251"/>
    <n v="2.58"/>
  </r>
  <r>
    <x v="15"/>
    <x v="0"/>
    <x v="5"/>
    <s v="Wine"/>
    <n v="163274"/>
    <n v="3468412"/>
    <n v="4.71"/>
  </r>
  <r>
    <x v="12"/>
    <x v="0"/>
    <x v="5"/>
    <s v="Wine"/>
    <n v="646676"/>
    <n v="22572383"/>
    <n v="2.86"/>
  </r>
  <r>
    <x v="13"/>
    <x v="0"/>
    <x v="5"/>
    <s v="Wine"/>
    <n v="297084"/>
    <n v="7015247"/>
    <n v="4.2300000000000004"/>
  </r>
  <r>
    <x v="14"/>
    <x v="0"/>
    <x v="5"/>
    <s v="Wine"/>
    <n v="167208"/>
    <n v="4805415"/>
    <n v="3.48"/>
  </r>
  <r>
    <x v="0"/>
    <x v="0"/>
    <x v="5"/>
    <s v="Beer"/>
    <n v="73304"/>
    <n v="593378"/>
    <n v="12.35"/>
  </r>
  <r>
    <x v="1"/>
    <x v="0"/>
    <x v="5"/>
    <s v="Beer"/>
    <n v="219354"/>
    <n v="2455022"/>
    <n v="8.93"/>
  </r>
  <r>
    <x v="2"/>
    <x v="0"/>
    <x v="5"/>
    <s v="Beer"/>
    <n v="561407"/>
    <n v="4634346"/>
    <n v="12.11"/>
  </r>
  <r>
    <x v="3"/>
    <x v="0"/>
    <x v="5"/>
    <s v="Beer"/>
    <n v="267892"/>
    <n v="3015481"/>
    <n v="8.8800000000000008"/>
  </r>
  <r>
    <x v="4"/>
    <x v="0"/>
    <x v="5"/>
    <s v="Beer"/>
    <n v="1643452"/>
    <n v="17722275"/>
    <n v="9.27"/>
  </r>
  <r>
    <x v="5"/>
    <x v="0"/>
    <x v="5"/>
    <s v="Beer"/>
    <n v="1258559"/>
    <n v="10556100"/>
    <n v="11.92"/>
  </r>
  <r>
    <x v="6"/>
    <x v="0"/>
    <x v="5"/>
    <s v="Beer"/>
    <n v="208317"/>
    <n v="2356231"/>
    <n v="8.84"/>
  </r>
  <r>
    <x v="7"/>
    <x v="0"/>
    <x v="5"/>
    <s v="Beer"/>
    <n v="322695"/>
    <n v="3670568"/>
    <n v="8.7899999999999991"/>
  </r>
  <r>
    <x v="9"/>
    <x v="0"/>
    <x v="5"/>
    <s v="Beer"/>
    <n v="571557"/>
    <n v="5815595"/>
    <n v="9.83"/>
  </r>
  <r>
    <x v="10"/>
    <x v="0"/>
    <x v="5"/>
    <s v="Beer"/>
    <n v="545753"/>
    <n v="5037634"/>
    <n v="10.83"/>
  </r>
  <r>
    <x v="11"/>
    <x v="0"/>
    <x v="5"/>
    <s v="Beer"/>
    <n v="101851"/>
    <n v="613251"/>
    <n v="16.61"/>
  </r>
  <r>
    <x v="15"/>
    <x v="0"/>
    <x v="5"/>
    <s v="Beer"/>
    <n v="401254"/>
    <n v="3468412"/>
    <n v="11.57"/>
  </r>
  <r>
    <x v="12"/>
    <x v="0"/>
    <x v="5"/>
    <s v="Beer"/>
    <n v="2809416"/>
    <n v="22572383"/>
    <n v="12.45"/>
  </r>
  <r>
    <x v="13"/>
    <x v="0"/>
    <x v="5"/>
    <s v="Beer"/>
    <n v="678699"/>
    <n v="7015247"/>
    <n v="9.67"/>
  </r>
  <r>
    <x v="0"/>
    <x v="0"/>
    <x v="6"/>
    <s v="Spirits"/>
    <n v="61279"/>
    <n v="593378"/>
    <n v="10.33"/>
  </r>
  <r>
    <x v="1"/>
    <x v="0"/>
    <x v="6"/>
    <s v="Spirits"/>
    <n v="158511"/>
    <n v="2455022"/>
    <n v="6.46"/>
  </r>
  <r>
    <x v="2"/>
    <x v="0"/>
    <x v="6"/>
    <s v="Spirits"/>
    <n v="383797"/>
    <n v="4634346"/>
    <n v="8.2799999999999994"/>
  </r>
  <r>
    <x v="3"/>
    <x v="0"/>
    <x v="6"/>
    <s v="Spirits"/>
    <n v="235901"/>
    <n v="3015481"/>
    <n v="7.82"/>
  </r>
  <r>
    <x v="4"/>
    <x v="0"/>
    <x v="6"/>
    <s v="Spirits"/>
    <n v="1116694"/>
    <n v="17722275"/>
    <n v="6.3"/>
  </r>
  <r>
    <x v="5"/>
    <x v="0"/>
    <x v="6"/>
    <s v="Spirits"/>
    <n v="511665"/>
    <n v="10556100"/>
    <n v="4.8499999999999996"/>
  </r>
  <r>
    <x v="6"/>
    <x v="0"/>
    <x v="6"/>
    <s v="Spirits"/>
    <n v="186782"/>
    <n v="2356231"/>
    <n v="7.93"/>
  </r>
  <r>
    <x v="7"/>
    <x v="0"/>
    <x v="6"/>
    <s v="Spirits"/>
    <n v="283521"/>
    <n v="3670568"/>
    <n v="7.72"/>
  </r>
  <r>
    <x v="8"/>
    <x v="0"/>
    <x v="6"/>
    <s v="Spirits"/>
    <n v="261823"/>
    <n v="3807282"/>
    <n v="6.88"/>
  </r>
  <r>
    <x v="9"/>
    <x v="0"/>
    <x v="6"/>
    <s v="Spirits"/>
    <n v="343377"/>
    <n v="5815595"/>
    <n v="5.9"/>
  </r>
  <r>
    <x v="10"/>
    <x v="0"/>
    <x v="6"/>
    <s v="Spirits"/>
    <n v="363582"/>
    <n v="5037634"/>
    <n v="7.22"/>
  </r>
  <r>
    <x v="11"/>
    <x v="0"/>
    <x v="6"/>
    <s v="Spirits"/>
    <n v="63621"/>
    <n v="613251"/>
    <n v="10.37"/>
  </r>
  <r>
    <x v="12"/>
    <x v="0"/>
    <x v="6"/>
    <s v="Spirits"/>
    <n v="1379418"/>
    <n v="22572383"/>
    <n v="6.11"/>
  </r>
  <r>
    <x v="13"/>
    <x v="0"/>
    <x v="6"/>
    <s v="Spirits"/>
    <n v="390519"/>
    <n v="7015247"/>
    <n v="5.57"/>
  </r>
  <r>
    <x v="14"/>
    <x v="0"/>
    <x v="6"/>
    <s v="Spirits"/>
    <n v="633166"/>
    <n v="4805415"/>
    <n v="13.18"/>
  </r>
  <r>
    <x v="0"/>
    <x v="0"/>
    <x v="6"/>
    <s v="Wine"/>
    <n v="27565"/>
    <n v="593378"/>
    <n v="4.6500000000000004"/>
  </r>
  <r>
    <x v="1"/>
    <x v="0"/>
    <x v="6"/>
    <s v="Wine"/>
    <n v="47161"/>
    <n v="2455022"/>
    <n v="1.92"/>
  </r>
  <r>
    <x v="2"/>
    <x v="0"/>
    <x v="6"/>
    <s v="Wine"/>
    <n v="172350"/>
    <n v="4634346"/>
    <n v="3.72"/>
  </r>
  <r>
    <x v="3"/>
    <x v="0"/>
    <x v="6"/>
    <s v="Wine"/>
    <n v="142408"/>
    <n v="3015481"/>
    <n v="4.72"/>
  </r>
  <r>
    <x v="4"/>
    <x v="0"/>
    <x v="6"/>
    <s v="Wine"/>
    <n v="568624"/>
    <n v="17722275"/>
    <n v="3.21"/>
  </r>
  <r>
    <x v="5"/>
    <x v="0"/>
    <x v="6"/>
    <s v="Wine"/>
    <n v="313436"/>
    <n v="10556100"/>
    <n v="2.97"/>
  </r>
  <r>
    <x v="7"/>
    <x v="0"/>
    <x v="6"/>
    <s v="Wine"/>
    <n v="69670"/>
    <n v="3670568"/>
    <n v="1.9"/>
  </r>
  <r>
    <x v="8"/>
    <x v="0"/>
    <x v="6"/>
    <s v="Wine"/>
    <n v="85608"/>
    <n v="3807282"/>
    <n v="2.25"/>
  </r>
  <r>
    <x v="9"/>
    <x v="0"/>
    <x v="6"/>
    <s v="Wine"/>
    <n v="238136"/>
    <n v="5815595"/>
    <n v="4.09"/>
  </r>
  <r>
    <x v="10"/>
    <x v="0"/>
    <x v="6"/>
    <s v="Wine"/>
    <n v="131632"/>
    <n v="5037634"/>
    <n v="2.61"/>
  </r>
  <r>
    <x v="11"/>
    <x v="0"/>
    <x v="6"/>
    <s v="Wine"/>
    <n v="14000"/>
    <n v="613251"/>
    <n v="2.2799999999999998"/>
  </r>
  <r>
    <x v="15"/>
    <x v="0"/>
    <x v="6"/>
    <s v="Wine"/>
    <n v="192560"/>
    <n v="3468412"/>
    <n v="5.55"/>
  </r>
  <r>
    <x v="12"/>
    <x v="0"/>
    <x v="6"/>
    <s v="Wine"/>
    <n v="658789"/>
    <n v="22572383"/>
    <n v="2.92"/>
  </r>
  <r>
    <x v="13"/>
    <x v="0"/>
    <x v="6"/>
    <s v="Wine"/>
    <n v="259942"/>
    <n v="7015247"/>
    <n v="3.71"/>
  </r>
  <r>
    <x v="14"/>
    <x v="0"/>
    <x v="6"/>
    <s v="Wine"/>
    <n v="174505"/>
    <n v="4805415"/>
    <n v="3.63"/>
  </r>
  <r>
    <x v="0"/>
    <x v="0"/>
    <x v="6"/>
    <s v="Beer"/>
    <n v="63374"/>
    <n v="593378"/>
    <n v="10.68"/>
  </r>
  <r>
    <x v="1"/>
    <x v="0"/>
    <x v="6"/>
    <s v="Beer"/>
    <n v="219406"/>
    <n v="2455022"/>
    <n v="8.94"/>
  </r>
  <r>
    <x v="2"/>
    <x v="0"/>
    <x v="6"/>
    <s v="Beer"/>
    <n v="465644"/>
    <n v="4634346"/>
    <n v="10.050000000000001"/>
  </r>
  <r>
    <x v="3"/>
    <x v="0"/>
    <x v="6"/>
    <s v="Beer"/>
    <n v="222988"/>
    <n v="3015481"/>
    <n v="7.39"/>
  </r>
  <r>
    <x v="4"/>
    <x v="0"/>
    <x v="6"/>
    <s v="Beer"/>
    <n v="1457466"/>
    <n v="17722275"/>
    <n v="8.2200000000000006"/>
  </r>
  <r>
    <x v="5"/>
    <x v="0"/>
    <x v="6"/>
    <s v="Beer"/>
    <n v="962817"/>
    <n v="10556100"/>
    <n v="9.1199999999999992"/>
  </r>
  <r>
    <x v="6"/>
    <x v="0"/>
    <x v="6"/>
    <s v="Beer"/>
    <n v="257021"/>
    <n v="2356231"/>
    <n v="10.91"/>
  </r>
  <r>
    <x v="7"/>
    <x v="0"/>
    <x v="6"/>
    <s v="Beer"/>
    <n v="349029"/>
    <n v="3670568"/>
    <n v="9.51"/>
  </r>
  <r>
    <x v="9"/>
    <x v="0"/>
    <x v="6"/>
    <s v="Beer"/>
    <n v="487017"/>
    <n v="5815595"/>
    <n v="8.3699999999999992"/>
  </r>
  <r>
    <x v="10"/>
    <x v="0"/>
    <x v="6"/>
    <s v="Beer"/>
    <n v="495023"/>
    <n v="5037634"/>
    <n v="9.83"/>
  </r>
  <r>
    <x v="11"/>
    <x v="0"/>
    <x v="6"/>
    <s v="Beer"/>
    <n v="83567"/>
    <n v="613251"/>
    <n v="13.63"/>
  </r>
  <r>
    <x v="15"/>
    <x v="0"/>
    <x v="6"/>
    <s v="Beer"/>
    <n v="439054"/>
    <n v="3468412"/>
    <n v="12.66"/>
  </r>
  <r>
    <x v="12"/>
    <x v="0"/>
    <x v="6"/>
    <s v="Beer"/>
    <n v="2710401"/>
    <n v="22572383"/>
    <n v="12.01"/>
  </r>
  <r>
    <x v="13"/>
    <x v="0"/>
    <x v="6"/>
    <s v="Beer"/>
    <n v="568574"/>
    <n v="7015247"/>
    <n v="8.1"/>
  </r>
  <r>
    <x v="0"/>
    <x v="0"/>
    <x v="7"/>
    <s v="Spirits"/>
    <n v="73012"/>
    <n v="593378"/>
    <n v="12.3"/>
  </r>
  <r>
    <x v="1"/>
    <x v="0"/>
    <x v="7"/>
    <s v="Spirits"/>
    <n v="116702"/>
    <n v="2455022"/>
    <n v="4.75"/>
  </r>
  <r>
    <x v="2"/>
    <x v="0"/>
    <x v="7"/>
    <s v="Spirits"/>
    <n v="494539"/>
    <n v="4634346"/>
    <n v="10.67"/>
  </r>
  <r>
    <x v="3"/>
    <x v="0"/>
    <x v="7"/>
    <s v="Spirits"/>
    <n v="220835"/>
    <n v="3015481"/>
    <n v="7.32"/>
  </r>
  <r>
    <x v="4"/>
    <x v="0"/>
    <x v="7"/>
    <s v="Spirits"/>
    <n v="1394408"/>
    <n v="17722275"/>
    <n v="7.87"/>
  </r>
  <r>
    <x v="5"/>
    <x v="0"/>
    <x v="7"/>
    <s v="Spirits"/>
    <n v="752971"/>
    <n v="10556100"/>
    <n v="7.13"/>
  </r>
  <r>
    <x v="6"/>
    <x v="0"/>
    <x v="7"/>
    <s v="Spirits"/>
    <n v="121346"/>
    <n v="2356231"/>
    <n v="5.15"/>
  </r>
  <r>
    <x v="7"/>
    <x v="0"/>
    <x v="7"/>
    <s v="Spirits"/>
    <n v="221830"/>
    <n v="3670568"/>
    <n v="6.04"/>
  </r>
  <r>
    <x v="8"/>
    <x v="0"/>
    <x v="7"/>
    <s v="Spirits"/>
    <n v="302515"/>
    <n v="3807282"/>
    <n v="7.95"/>
  </r>
  <r>
    <x v="9"/>
    <x v="0"/>
    <x v="7"/>
    <s v="Spirits"/>
    <n v="443277"/>
    <n v="5815595"/>
    <n v="7.62"/>
  </r>
  <r>
    <x v="10"/>
    <x v="0"/>
    <x v="7"/>
    <s v="Spirits"/>
    <n v="418433"/>
    <n v="5037634"/>
    <n v="8.31"/>
  </r>
  <r>
    <x v="11"/>
    <x v="0"/>
    <x v="7"/>
    <s v="Spirits"/>
    <n v="68927"/>
    <n v="613251"/>
    <n v="11.24"/>
  </r>
  <r>
    <x v="12"/>
    <x v="0"/>
    <x v="7"/>
    <s v="Spirits"/>
    <n v="1292062"/>
    <n v="22572383"/>
    <n v="5.72"/>
  </r>
  <r>
    <x v="13"/>
    <x v="0"/>
    <x v="7"/>
    <s v="Spirits"/>
    <n v="386402"/>
    <n v="7015247"/>
    <n v="5.51"/>
  </r>
  <r>
    <x v="14"/>
    <x v="0"/>
    <x v="7"/>
    <s v="Spirits"/>
    <n v="389960"/>
    <n v="4805415"/>
    <n v="8.1199999999999992"/>
  </r>
  <r>
    <x v="0"/>
    <x v="0"/>
    <x v="7"/>
    <s v="Wine"/>
    <n v="32067"/>
    <n v="593378"/>
    <n v="5.4"/>
  </r>
  <r>
    <x v="1"/>
    <x v="0"/>
    <x v="7"/>
    <s v="Wine"/>
    <n v="40599"/>
    <n v="2455022"/>
    <n v="1.65"/>
  </r>
  <r>
    <x v="2"/>
    <x v="0"/>
    <x v="7"/>
    <s v="Wine"/>
    <n v="218514"/>
    <n v="4634346"/>
    <n v="4.72"/>
  </r>
  <r>
    <x v="3"/>
    <x v="0"/>
    <x v="7"/>
    <s v="Wine"/>
    <n v="137931"/>
    <n v="3015481"/>
    <n v="4.57"/>
  </r>
  <r>
    <x v="4"/>
    <x v="0"/>
    <x v="7"/>
    <s v="Wine"/>
    <n v="754895"/>
    <n v="17722275"/>
    <n v="4.26"/>
  </r>
  <r>
    <x v="5"/>
    <x v="0"/>
    <x v="7"/>
    <s v="Wine"/>
    <n v="435978"/>
    <n v="10556100"/>
    <n v="4.13"/>
  </r>
  <r>
    <x v="7"/>
    <x v="0"/>
    <x v="7"/>
    <s v="Wine"/>
    <n v="54267"/>
    <n v="3670568"/>
    <n v="1.48"/>
  </r>
  <r>
    <x v="8"/>
    <x v="0"/>
    <x v="7"/>
    <s v="Wine"/>
    <n v="111839"/>
    <n v="3807282"/>
    <n v="2.94"/>
  </r>
  <r>
    <x v="9"/>
    <x v="0"/>
    <x v="7"/>
    <s v="Wine"/>
    <n v="301765"/>
    <n v="5815595"/>
    <n v="5.19"/>
  </r>
  <r>
    <x v="10"/>
    <x v="0"/>
    <x v="7"/>
    <s v="Wine"/>
    <n v="158865"/>
    <n v="5037634"/>
    <n v="3.15"/>
  </r>
  <r>
    <x v="11"/>
    <x v="0"/>
    <x v="7"/>
    <s v="Wine"/>
    <n v="16960"/>
    <n v="613251"/>
    <n v="2.77"/>
  </r>
  <r>
    <x v="15"/>
    <x v="0"/>
    <x v="7"/>
    <s v="Wine"/>
    <n v="148148"/>
    <n v="3468412"/>
    <n v="4.2699999999999996"/>
  </r>
  <r>
    <x v="12"/>
    <x v="0"/>
    <x v="7"/>
    <s v="Wine"/>
    <n v="646534"/>
    <n v="22572383"/>
    <n v="2.86"/>
  </r>
  <r>
    <x v="13"/>
    <x v="0"/>
    <x v="7"/>
    <s v="Wine"/>
    <n v="299326"/>
    <n v="7015247"/>
    <n v="4.2699999999999996"/>
  </r>
  <r>
    <x v="14"/>
    <x v="0"/>
    <x v="7"/>
    <s v="Wine"/>
    <n v="139021"/>
    <n v="4805415"/>
    <n v="2.89"/>
  </r>
  <r>
    <x v="0"/>
    <x v="0"/>
    <x v="7"/>
    <s v="Beer"/>
    <n v="73643"/>
    <n v="593378"/>
    <n v="12.41"/>
  </r>
  <r>
    <x v="1"/>
    <x v="0"/>
    <x v="7"/>
    <s v="Beer"/>
    <n v="200128"/>
    <n v="2455022"/>
    <n v="8.15"/>
  </r>
  <r>
    <x v="2"/>
    <x v="0"/>
    <x v="7"/>
    <s v="Beer"/>
    <n v="537962"/>
    <n v="4634346"/>
    <n v="11.61"/>
  </r>
  <r>
    <x v="3"/>
    <x v="0"/>
    <x v="7"/>
    <s v="Beer"/>
    <n v="256051"/>
    <n v="3015481"/>
    <n v="8.49"/>
  </r>
  <r>
    <x v="4"/>
    <x v="0"/>
    <x v="7"/>
    <s v="Beer"/>
    <n v="1712901"/>
    <n v="17722275"/>
    <n v="9.67"/>
  </r>
  <r>
    <x v="5"/>
    <x v="0"/>
    <x v="7"/>
    <s v="Beer"/>
    <n v="1201127"/>
    <n v="10556100"/>
    <n v="11.38"/>
  </r>
  <r>
    <x v="6"/>
    <x v="0"/>
    <x v="7"/>
    <s v="Beer"/>
    <n v="211730"/>
    <n v="2356231"/>
    <n v="8.99"/>
  </r>
  <r>
    <x v="7"/>
    <x v="0"/>
    <x v="7"/>
    <s v="Beer"/>
    <n v="285049"/>
    <n v="3670568"/>
    <n v="7.77"/>
  </r>
  <r>
    <x v="9"/>
    <x v="0"/>
    <x v="7"/>
    <s v="Beer"/>
    <n v="556807"/>
    <n v="5815595"/>
    <n v="9.57"/>
  </r>
  <r>
    <x v="10"/>
    <x v="0"/>
    <x v="7"/>
    <s v="Beer"/>
    <n v="545941"/>
    <n v="5037634"/>
    <n v="10.84"/>
  </r>
  <r>
    <x v="11"/>
    <x v="0"/>
    <x v="7"/>
    <s v="Beer"/>
    <n v="86030"/>
    <n v="613251"/>
    <n v="14.03"/>
  </r>
  <r>
    <x v="15"/>
    <x v="0"/>
    <x v="7"/>
    <s v="Beer"/>
    <n v="418496"/>
    <n v="3468412"/>
    <n v="12.07"/>
  </r>
  <r>
    <x v="12"/>
    <x v="0"/>
    <x v="7"/>
    <s v="Beer"/>
    <n v="2241990"/>
    <n v="22572383"/>
    <n v="9.93"/>
  </r>
  <r>
    <x v="13"/>
    <x v="0"/>
    <x v="7"/>
    <s v="Beer"/>
    <n v="657757"/>
    <n v="7015247"/>
    <n v="9.3800000000000008"/>
  </r>
  <r>
    <x v="0"/>
    <x v="0"/>
    <x v="8"/>
    <s v="Spirits"/>
    <n v="59212"/>
    <n v="593378"/>
    <n v="9.98"/>
  </r>
  <r>
    <x v="1"/>
    <x v="0"/>
    <x v="8"/>
    <s v="Spirits"/>
    <n v="151398"/>
    <n v="2455022"/>
    <n v="6.17"/>
  </r>
  <r>
    <x v="2"/>
    <x v="0"/>
    <x v="8"/>
    <s v="Spirits"/>
    <n v="433628"/>
    <n v="4634346"/>
    <n v="9.36"/>
  </r>
  <r>
    <x v="3"/>
    <x v="0"/>
    <x v="8"/>
    <s v="Spirits"/>
    <n v="223091"/>
    <n v="3015481"/>
    <n v="7.4"/>
  </r>
  <r>
    <x v="4"/>
    <x v="0"/>
    <x v="8"/>
    <s v="Spirits"/>
    <n v="1153296"/>
    <n v="17722275"/>
    <n v="6.51"/>
  </r>
  <r>
    <x v="5"/>
    <x v="0"/>
    <x v="8"/>
    <s v="Spirits"/>
    <n v="666299"/>
    <n v="10556100"/>
    <n v="6.31"/>
  </r>
  <r>
    <x v="6"/>
    <x v="0"/>
    <x v="8"/>
    <s v="Spirits"/>
    <n v="159951"/>
    <n v="2356231"/>
    <n v="6.79"/>
  </r>
  <r>
    <x v="7"/>
    <x v="0"/>
    <x v="8"/>
    <s v="Spirits"/>
    <n v="253002"/>
    <n v="3670568"/>
    <n v="6.89"/>
  </r>
  <r>
    <x v="8"/>
    <x v="0"/>
    <x v="8"/>
    <s v="Spirits"/>
    <n v="283286"/>
    <n v="3807282"/>
    <n v="7.44"/>
  </r>
  <r>
    <x v="9"/>
    <x v="0"/>
    <x v="8"/>
    <s v="Spirits"/>
    <n v="477877"/>
    <n v="5815595"/>
    <n v="8.2200000000000006"/>
  </r>
  <r>
    <x v="10"/>
    <x v="0"/>
    <x v="8"/>
    <s v="Spirits"/>
    <n v="493152"/>
    <n v="5037634"/>
    <n v="9.7899999999999991"/>
  </r>
  <r>
    <x v="11"/>
    <x v="0"/>
    <x v="8"/>
    <s v="Spirits"/>
    <n v="62741"/>
    <n v="613251"/>
    <n v="10.23"/>
  </r>
  <r>
    <x v="12"/>
    <x v="0"/>
    <x v="8"/>
    <s v="Spirits"/>
    <n v="1102812"/>
    <n v="22572383"/>
    <n v="4.8899999999999997"/>
  </r>
  <r>
    <x v="13"/>
    <x v="0"/>
    <x v="8"/>
    <s v="Spirits"/>
    <n v="389019"/>
    <n v="7015247"/>
    <n v="5.55"/>
  </r>
  <r>
    <x v="14"/>
    <x v="0"/>
    <x v="8"/>
    <s v="Spirits"/>
    <n v="493997"/>
    <n v="4805415"/>
    <n v="10.28"/>
  </r>
  <r>
    <x v="0"/>
    <x v="0"/>
    <x v="8"/>
    <s v="Wine"/>
    <n v="25682"/>
    <n v="593378"/>
    <n v="4.33"/>
  </r>
  <r>
    <x v="1"/>
    <x v="0"/>
    <x v="8"/>
    <s v="Wine"/>
    <n v="43750"/>
    <n v="2455022"/>
    <n v="1.78"/>
  </r>
  <r>
    <x v="2"/>
    <x v="0"/>
    <x v="8"/>
    <s v="Wine"/>
    <n v="176028"/>
    <n v="4634346"/>
    <n v="3.8"/>
  </r>
  <r>
    <x v="3"/>
    <x v="0"/>
    <x v="8"/>
    <s v="Wine"/>
    <n v="137358"/>
    <n v="3015481"/>
    <n v="4.5599999999999996"/>
  </r>
  <r>
    <x v="4"/>
    <x v="0"/>
    <x v="8"/>
    <s v="Wine"/>
    <n v="569997"/>
    <n v="17722275"/>
    <n v="3.22"/>
  </r>
  <r>
    <x v="5"/>
    <x v="0"/>
    <x v="8"/>
    <s v="Wine"/>
    <n v="347116"/>
    <n v="10556100"/>
    <n v="3.29"/>
  </r>
  <r>
    <x v="7"/>
    <x v="0"/>
    <x v="8"/>
    <s v="Wine"/>
    <n v="68244"/>
    <n v="3670568"/>
    <n v="1.86"/>
  </r>
  <r>
    <x v="8"/>
    <x v="0"/>
    <x v="8"/>
    <s v="Wine"/>
    <n v="94457"/>
    <n v="3807282"/>
    <n v="2.48"/>
  </r>
  <r>
    <x v="9"/>
    <x v="0"/>
    <x v="8"/>
    <s v="Wine"/>
    <n v="336527"/>
    <n v="5815595"/>
    <n v="5.79"/>
  </r>
  <r>
    <x v="10"/>
    <x v="0"/>
    <x v="8"/>
    <s v="Wine"/>
    <n v="176178"/>
    <n v="5037634"/>
    <n v="3.5"/>
  </r>
  <r>
    <x v="11"/>
    <x v="0"/>
    <x v="8"/>
    <s v="Wine"/>
    <n v="12537"/>
    <n v="613251"/>
    <n v="2.04"/>
  </r>
  <r>
    <x v="15"/>
    <x v="0"/>
    <x v="8"/>
    <s v="Wine"/>
    <n v="193355"/>
    <n v="3468412"/>
    <n v="5.57"/>
  </r>
  <r>
    <x v="12"/>
    <x v="0"/>
    <x v="8"/>
    <s v="Wine"/>
    <n v="612875"/>
    <n v="22572383"/>
    <n v="2.72"/>
  </r>
  <r>
    <x v="13"/>
    <x v="0"/>
    <x v="8"/>
    <s v="Wine"/>
    <n v="267396"/>
    <n v="7015247"/>
    <n v="3.81"/>
  </r>
  <r>
    <x v="14"/>
    <x v="0"/>
    <x v="8"/>
    <s v="Wine"/>
    <n v="171106"/>
    <n v="4805415"/>
    <n v="3.56"/>
  </r>
  <r>
    <x v="0"/>
    <x v="0"/>
    <x v="8"/>
    <s v="Beer"/>
    <n v="48752"/>
    <n v="593378"/>
    <n v="8.2200000000000006"/>
  </r>
  <r>
    <x v="1"/>
    <x v="0"/>
    <x v="8"/>
    <s v="Beer"/>
    <n v="217917"/>
    <n v="2455022"/>
    <n v="8.8800000000000008"/>
  </r>
  <r>
    <x v="2"/>
    <x v="0"/>
    <x v="8"/>
    <s v="Beer"/>
    <n v="447429"/>
    <n v="4634346"/>
    <n v="9.65"/>
  </r>
  <r>
    <x v="3"/>
    <x v="0"/>
    <x v="8"/>
    <s v="Beer"/>
    <n v="211723"/>
    <n v="3015481"/>
    <n v="7.02"/>
  </r>
  <r>
    <x v="4"/>
    <x v="0"/>
    <x v="8"/>
    <s v="Beer"/>
    <n v="1462187"/>
    <n v="17722275"/>
    <n v="8.25"/>
  </r>
  <r>
    <x v="5"/>
    <x v="0"/>
    <x v="8"/>
    <s v="Beer"/>
    <n v="963893"/>
    <n v="10556100"/>
    <n v="9.1300000000000008"/>
  </r>
  <r>
    <x v="6"/>
    <x v="0"/>
    <x v="8"/>
    <s v="Beer"/>
    <n v="244159"/>
    <n v="2356231"/>
    <n v="10.36"/>
  </r>
  <r>
    <x v="7"/>
    <x v="0"/>
    <x v="8"/>
    <s v="Beer"/>
    <n v="358923"/>
    <n v="3670568"/>
    <n v="9.7799999999999994"/>
  </r>
  <r>
    <x v="9"/>
    <x v="0"/>
    <x v="8"/>
    <s v="Beer"/>
    <n v="445924"/>
    <n v="5815595"/>
    <n v="7.67"/>
  </r>
  <r>
    <x v="10"/>
    <x v="0"/>
    <x v="8"/>
    <s v="Beer"/>
    <n v="468924"/>
    <n v="5037634"/>
    <n v="9.31"/>
  </r>
  <r>
    <x v="11"/>
    <x v="0"/>
    <x v="8"/>
    <s v="Beer"/>
    <n v="68097"/>
    <n v="613251"/>
    <n v="11.1"/>
  </r>
  <r>
    <x v="15"/>
    <x v="0"/>
    <x v="8"/>
    <s v="Beer"/>
    <n v="440503"/>
    <n v="3468412"/>
    <n v="12.7"/>
  </r>
  <r>
    <x v="12"/>
    <x v="0"/>
    <x v="8"/>
    <s v="Beer"/>
    <n v="2556785"/>
    <n v="22572383"/>
    <n v="11.33"/>
  </r>
  <r>
    <x v="13"/>
    <x v="0"/>
    <x v="8"/>
    <s v="Beer"/>
    <n v="560421"/>
    <n v="7015247"/>
    <n v="7.99"/>
  </r>
  <r>
    <x v="0"/>
    <x v="0"/>
    <x v="9"/>
    <s v="Spirits"/>
    <n v="54797"/>
    <n v="593378"/>
    <n v="9.23"/>
  </r>
  <r>
    <x v="1"/>
    <x v="0"/>
    <x v="9"/>
    <s v="Spirits"/>
    <n v="125104"/>
    <n v="2455022"/>
    <n v="5.0999999999999996"/>
  </r>
  <r>
    <x v="2"/>
    <x v="0"/>
    <x v="9"/>
    <s v="Spirits"/>
    <n v="436085"/>
    <n v="4634346"/>
    <n v="9.41"/>
  </r>
  <r>
    <x v="3"/>
    <x v="0"/>
    <x v="9"/>
    <s v="Spirits"/>
    <n v="321352"/>
    <n v="3015481"/>
    <n v="10.66"/>
  </r>
  <r>
    <x v="4"/>
    <x v="0"/>
    <x v="9"/>
    <s v="Spirits"/>
    <n v="1644048"/>
    <n v="17722275"/>
    <n v="9.2799999999999994"/>
  </r>
  <r>
    <x v="5"/>
    <x v="0"/>
    <x v="9"/>
    <s v="Spirits"/>
    <n v="779086"/>
    <n v="10556100"/>
    <n v="7.38"/>
  </r>
  <r>
    <x v="6"/>
    <x v="0"/>
    <x v="9"/>
    <s v="Spirits"/>
    <n v="140614"/>
    <n v="2356231"/>
    <n v="5.97"/>
  </r>
  <r>
    <x v="7"/>
    <x v="0"/>
    <x v="9"/>
    <s v="Spirits"/>
    <n v="243856"/>
    <n v="3670568"/>
    <n v="6.64"/>
  </r>
  <r>
    <x v="8"/>
    <x v="0"/>
    <x v="9"/>
    <s v="Spirits"/>
    <n v="340181"/>
    <n v="3807282"/>
    <n v="8.94"/>
  </r>
  <r>
    <x v="9"/>
    <x v="0"/>
    <x v="9"/>
    <s v="Spirits"/>
    <n v="448926"/>
    <n v="5815595"/>
    <n v="7.72"/>
  </r>
  <r>
    <x v="10"/>
    <x v="0"/>
    <x v="9"/>
    <s v="Spirits"/>
    <n v="429637"/>
    <n v="5037634"/>
    <n v="8.5299999999999994"/>
  </r>
  <r>
    <x v="11"/>
    <x v="0"/>
    <x v="9"/>
    <s v="Spirits"/>
    <n v="66969"/>
    <n v="613251"/>
    <n v="10.92"/>
  </r>
  <r>
    <x v="12"/>
    <x v="0"/>
    <x v="9"/>
    <s v="Spirits"/>
    <n v="1383565"/>
    <n v="22572383"/>
    <n v="6.13"/>
  </r>
  <r>
    <x v="13"/>
    <x v="0"/>
    <x v="9"/>
    <s v="Spirits"/>
    <n v="384369"/>
    <n v="7015247"/>
    <n v="5.48"/>
  </r>
  <r>
    <x v="14"/>
    <x v="0"/>
    <x v="9"/>
    <s v="Spirits"/>
    <n v="438771"/>
    <n v="4805415"/>
    <n v="9.1300000000000008"/>
  </r>
  <r>
    <x v="0"/>
    <x v="0"/>
    <x v="9"/>
    <s v="Wine"/>
    <n v="24217"/>
    <n v="593378"/>
    <n v="4.08"/>
  </r>
  <r>
    <x v="1"/>
    <x v="0"/>
    <x v="9"/>
    <s v="Wine"/>
    <n v="42540"/>
    <n v="2455022"/>
    <n v="1.73"/>
  </r>
  <r>
    <x v="2"/>
    <x v="0"/>
    <x v="9"/>
    <s v="Wine"/>
    <n v="206278"/>
    <n v="4634346"/>
    <n v="4.45"/>
  </r>
  <r>
    <x v="3"/>
    <x v="0"/>
    <x v="9"/>
    <s v="Wine"/>
    <n v="176972"/>
    <n v="3015481"/>
    <n v="5.87"/>
  </r>
  <r>
    <x v="4"/>
    <x v="0"/>
    <x v="9"/>
    <s v="Wine"/>
    <n v="843762"/>
    <n v="17722275"/>
    <n v="4.76"/>
  </r>
  <r>
    <x v="5"/>
    <x v="0"/>
    <x v="9"/>
    <s v="Wine"/>
    <n v="422007"/>
    <n v="10556100"/>
    <n v="4"/>
  </r>
  <r>
    <x v="7"/>
    <x v="0"/>
    <x v="9"/>
    <s v="Wine"/>
    <n v="60213"/>
    <n v="3670568"/>
    <n v="1.64"/>
  </r>
  <r>
    <x v="8"/>
    <x v="0"/>
    <x v="9"/>
    <s v="Wine"/>
    <n v="118239"/>
    <n v="3807282"/>
    <n v="3.11"/>
  </r>
  <r>
    <x v="9"/>
    <x v="0"/>
    <x v="9"/>
    <s v="Wine"/>
    <n v="288639"/>
    <n v="5815595"/>
    <n v="4.96"/>
  </r>
  <r>
    <x v="10"/>
    <x v="0"/>
    <x v="9"/>
    <s v="Wine"/>
    <n v="184289"/>
    <n v="5037634"/>
    <n v="3.66"/>
  </r>
  <r>
    <x v="11"/>
    <x v="0"/>
    <x v="9"/>
    <s v="Wine"/>
    <n v="18212"/>
    <n v="613251"/>
    <n v="2.97"/>
  </r>
  <r>
    <x v="15"/>
    <x v="0"/>
    <x v="9"/>
    <s v="Wine"/>
    <n v="176197"/>
    <n v="3468412"/>
    <n v="5.08"/>
  </r>
  <r>
    <x v="12"/>
    <x v="0"/>
    <x v="9"/>
    <s v="Wine"/>
    <n v="613728"/>
    <n v="22572383"/>
    <n v="2.72"/>
  </r>
  <r>
    <x v="13"/>
    <x v="0"/>
    <x v="9"/>
    <s v="Wine"/>
    <n v="309324"/>
    <n v="7015247"/>
    <n v="4.41"/>
  </r>
  <r>
    <x v="14"/>
    <x v="0"/>
    <x v="9"/>
    <s v="Wine"/>
    <n v="173415"/>
    <n v="4805415"/>
    <n v="3.61"/>
  </r>
  <r>
    <x v="0"/>
    <x v="0"/>
    <x v="9"/>
    <s v="Beer"/>
    <n v="44904"/>
    <n v="593378"/>
    <n v="7.57"/>
  </r>
  <r>
    <x v="1"/>
    <x v="0"/>
    <x v="9"/>
    <s v="Beer"/>
    <n v="191956"/>
    <n v="2455022"/>
    <n v="7.82"/>
  </r>
  <r>
    <x v="2"/>
    <x v="0"/>
    <x v="9"/>
    <s v="Beer"/>
    <n v="403754"/>
    <n v="4634346"/>
    <n v="8.7100000000000009"/>
  </r>
  <r>
    <x v="3"/>
    <x v="0"/>
    <x v="9"/>
    <s v="Beer"/>
    <n v="190022"/>
    <n v="3015481"/>
    <n v="6.3"/>
  </r>
  <r>
    <x v="4"/>
    <x v="0"/>
    <x v="9"/>
    <s v="Beer"/>
    <n v="1522546"/>
    <n v="17722275"/>
    <n v="8.59"/>
  </r>
  <r>
    <x v="5"/>
    <x v="0"/>
    <x v="9"/>
    <s v="Beer"/>
    <n v="916924"/>
    <n v="10556100"/>
    <n v="8.69"/>
  </r>
  <r>
    <x v="6"/>
    <x v="0"/>
    <x v="9"/>
    <s v="Beer"/>
    <n v="194037"/>
    <n v="2356231"/>
    <n v="8.24"/>
  </r>
  <r>
    <x v="7"/>
    <x v="0"/>
    <x v="9"/>
    <s v="Beer"/>
    <n v="280657"/>
    <n v="3670568"/>
    <n v="7.65"/>
  </r>
  <r>
    <x v="9"/>
    <x v="0"/>
    <x v="9"/>
    <s v="Beer"/>
    <n v="418093"/>
    <n v="5815595"/>
    <n v="7.19"/>
  </r>
  <r>
    <x v="10"/>
    <x v="0"/>
    <x v="9"/>
    <s v="Beer"/>
    <n v="462034"/>
    <n v="5037634"/>
    <n v="9.17"/>
  </r>
  <r>
    <x v="11"/>
    <x v="0"/>
    <x v="9"/>
    <s v="Beer"/>
    <n v="70943"/>
    <n v="613251"/>
    <n v="11.57"/>
  </r>
  <r>
    <x v="15"/>
    <x v="0"/>
    <x v="9"/>
    <s v="Beer"/>
    <n v="372451"/>
    <n v="3468412"/>
    <n v="10.74"/>
  </r>
  <r>
    <x v="12"/>
    <x v="0"/>
    <x v="9"/>
    <s v="Beer"/>
    <n v="2362853"/>
    <n v="22572383"/>
    <n v="10.47"/>
  </r>
  <r>
    <x v="13"/>
    <x v="0"/>
    <x v="9"/>
    <s v="Beer"/>
    <n v="552361"/>
    <n v="7015247"/>
    <n v="7.87"/>
  </r>
  <r>
    <x v="0"/>
    <x v="0"/>
    <x v="10"/>
    <s v="Spirits"/>
    <n v="60612"/>
    <n v="593378"/>
    <n v="10.210000000000001"/>
  </r>
  <r>
    <x v="1"/>
    <x v="0"/>
    <x v="10"/>
    <s v="Spirits"/>
    <n v="154462"/>
    <n v="2455022"/>
    <n v="6.29"/>
  </r>
  <r>
    <x v="2"/>
    <x v="0"/>
    <x v="10"/>
    <s v="Spirits"/>
    <n v="492659"/>
    <n v="4634346"/>
    <n v="10.63"/>
  </r>
  <r>
    <x v="3"/>
    <x v="0"/>
    <x v="10"/>
    <s v="Spirits"/>
    <n v="280664"/>
    <n v="3015481"/>
    <n v="9.31"/>
  </r>
  <r>
    <x v="4"/>
    <x v="0"/>
    <x v="10"/>
    <s v="Spirits"/>
    <n v="1644497"/>
    <n v="17722275"/>
    <n v="9.2799999999999994"/>
  </r>
  <r>
    <x v="5"/>
    <x v="0"/>
    <x v="10"/>
    <s v="Spirits"/>
    <n v="831533"/>
    <n v="10556100"/>
    <n v="7.88"/>
  </r>
  <r>
    <x v="6"/>
    <x v="0"/>
    <x v="10"/>
    <s v="Spirits"/>
    <n v="219415"/>
    <n v="2356231"/>
    <n v="9.31"/>
  </r>
  <r>
    <x v="7"/>
    <x v="0"/>
    <x v="10"/>
    <s v="Spirits"/>
    <n v="264160"/>
    <n v="3670568"/>
    <n v="7.2"/>
  </r>
  <r>
    <x v="8"/>
    <x v="0"/>
    <x v="10"/>
    <s v="Spirits"/>
    <n v="335973"/>
    <n v="3807282"/>
    <n v="8.82"/>
  </r>
  <r>
    <x v="9"/>
    <x v="0"/>
    <x v="10"/>
    <s v="Spirits"/>
    <n v="489960"/>
    <n v="5815595"/>
    <n v="8.42"/>
  </r>
  <r>
    <x v="10"/>
    <x v="0"/>
    <x v="10"/>
    <s v="Spirits"/>
    <n v="482525"/>
    <n v="5037634"/>
    <n v="9.58"/>
  </r>
  <r>
    <x v="11"/>
    <x v="0"/>
    <x v="10"/>
    <s v="Spirits"/>
    <n v="69989"/>
    <n v="613251"/>
    <n v="11.41"/>
  </r>
  <r>
    <x v="12"/>
    <x v="0"/>
    <x v="10"/>
    <s v="Spirits"/>
    <n v="1324361"/>
    <n v="22572383"/>
    <n v="5.87"/>
  </r>
  <r>
    <x v="13"/>
    <x v="0"/>
    <x v="10"/>
    <s v="Spirits"/>
    <n v="413728"/>
    <n v="7015247"/>
    <n v="5.9"/>
  </r>
  <r>
    <x v="14"/>
    <x v="0"/>
    <x v="10"/>
    <s v="Spirits"/>
    <n v="660604"/>
    <n v="4805415"/>
    <n v="13.75"/>
  </r>
  <r>
    <x v="0"/>
    <x v="0"/>
    <x v="10"/>
    <s v="Wine"/>
    <n v="25023"/>
    <n v="593378"/>
    <n v="4.22"/>
  </r>
  <r>
    <x v="1"/>
    <x v="0"/>
    <x v="10"/>
    <s v="Wine"/>
    <n v="57449"/>
    <n v="2455022"/>
    <n v="2.34"/>
  </r>
  <r>
    <x v="2"/>
    <x v="0"/>
    <x v="10"/>
    <s v="Wine"/>
    <n v="225626"/>
    <n v="4634346"/>
    <n v="4.87"/>
  </r>
  <r>
    <x v="3"/>
    <x v="0"/>
    <x v="10"/>
    <s v="Wine"/>
    <n v="186162"/>
    <n v="3015481"/>
    <n v="6.17"/>
  </r>
  <r>
    <x v="4"/>
    <x v="0"/>
    <x v="10"/>
    <s v="Wine"/>
    <n v="938838"/>
    <n v="17722275"/>
    <n v="5.3"/>
  </r>
  <r>
    <x v="5"/>
    <x v="0"/>
    <x v="10"/>
    <s v="Wine"/>
    <n v="478465"/>
    <n v="10556100"/>
    <n v="4.53"/>
  </r>
  <r>
    <x v="7"/>
    <x v="0"/>
    <x v="10"/>
    <s v="Wine"/>
    <n v="67967"/>
    <n v="3670568"/>
    <n v="1.85"/>
  </r>
  <r>
    <x v="8"/>
    <x v="0"/>
    <x v="10"/>
    <s v="Wine"/>
    <n v="123110"/>
    <n v="3807282"/>
    <n v="3.23"/>
  </r>
  <r>
    <x v="9"/>
    <x v="0"/>
    <x v="10"/>
    <s v="Wine"/>
    <n v="368970"/>
    <n v="5815595"/>
    <n v="6.34"/>
  </r>
  <r>
    <x v="10"/>
    <x v="0"/>
    <x v="10"/>
    <s v="Wine"/>
    <n v="185597"/>
    <n v="5037634"/>
    <n v="3.68"/>
  </r>
  <r>
    <x v="11"/>
    <x v="0"/>
    <x v="10"/>
    <s v="Wine"/>
    <n v="25010"/>
    <n v="613251"/>
    <n v="4.08"/>
  </r>
  <r>
    <x v="15"/>
    <x v="0"/>
    <x v="10"/>
    <s v="Wine"/>
    <n v="175320"/>
    <n v="3468412"/>
    <n v="5.05"/>
  </r>
  <r>
    <x v="12"/>
    <x v="0"/>
    <x v="10"/>
    <s v="Wine"/>
    <n v="732391"/>
    <n v="22572383"/>
    <n v="3.24"/>
  </r>
  <r>
    <x v="13"/>
    <x v="0"/>
    <x v="10"/>
    <s v="Wine"/>
    <n v="334051"/>
    <n v="7015247"/>
    <n v="4.76"/>
  </r>
  <r>
    <x v="14"/>
    <x v="0"/>
    <x v="10"/>
    <s v="Wine"/>
    <n v="179552"/>
    <n v="4805415"/>
    <n v="3.74"/>
  </r>
  <r>
    <x v="0"/>
    <x v="0"/>
    <x v="10"/>
    <s v="Beer"/>
    <n v="44491"/>
    <n v="593378"/>
    <n v="7.5"/>
  </r>
  <r>
    <x v="1"/>
    <x v="0"/>
    <x v="10"/>
    <s v="Beer"/>
    <n v="192734"/>
    <n v="2455022"/>
    <n v="7.85"/>
  </r>
  <r>
    <x v="2"/>
    <x v="0"/>
    <x v="10"/>
    <s v="Beer"/>
    <n v="419155"/>
    <n v="4634346"/>
    <n v="9.0399999999999991"/>
  </r>
  <r>
    <x v="3"/>
    <x v="0"/>
    <x v="10"/>
    <s v="Beer"/>
    <n v="191063"/>
    <n v="3015481"/>
    <n v="6.34"/>
  </r>
  <r>
    <x v="4"/>
    <x v="0"/>
    <x v="10"/>
    <s v="Beer"/>
    <n v="1591777"/>
    <n v="17722275"/>
    <n v="8.98"/>
  </r>
  <r>
    <x v="5"/>
    <x v="0"/>
    <x v="10"/>
    <s v="Beer"/>
    <n v="904517"/>
    <n v="10556100"/>
    <n v="8.57"/>
  </r>
  <r>
    <x v="6"/>
    <x v="0"/>
    <x v="10"/>
    <s v="Beer"/>
    <n v="166509"/>
    <n v="2356231"/>
    <n v="7.07"/>
  </r>
  <r>
    <x v="7"/>
    <x v="0"/>
    <x v="10"/>
    <s v="Beer"/>
    <n v="282331"/>
    <n v="3670568"/>
    <n v="7.69"/>
  </r>
  <r>
    <x v="9"/>
    <x v="0"/>
    <x v="10"/>
    <s v="Beer"/>
    <n v="422740"/>
    <n v="5815595"/>
    <n v="7.27"/>
  </r>
  <r>
    <x v="10"/>
    <x v="0"/>
    <x v="10"/>
    <s v="Beer"/>
    <n v="442579"/>
    <n v="5037634"/>
    <n v="8.7899999999999991"/>
  </r>
  <r>
    <x v="11"/>
    <x v="0"/>
    <x v="10"/>
    <s v="Beer"/>
    <n v="72835"/>
    <n v="613251"/>
    <n v="11.88"/>
  </r>
  <r>
    <x v="15"/>
    <x v="0"/>
    <x v="10"/>
    <s v="Beer"/>
    <n v="302802"/>
    <n v="3468412"/>
    <n v="8.73"/>
  </r>
  <r>
    <x v="12"/>
    <x v="0"/>
    <x v="10"/>
    <s v="Beer"/>
    <n v="2316102"/>
    <n v="22572383"/>
    <n v="10.26"/>
  </r>
  <r>
    <x v="13"/>
    <x v="0"/>
    <x v="10"/>
    <s v="Beer"/>
    <n v="545201"/>
    <n v="7015247"/>
    <n v="7.77"/>
  </r>
  <r>
    <x v="0"/>
    <x v="0"/>
    <x v="11"/>
    <s v="Spirits"/>
    <n v="67433"/>
    <n v="593378"/>
    <n v="11.36"/>
  </r>
  <r>
    <x v="1"/>
    <x v="0"/>
    <x v="11"/>
    <s v="Spirits"/>
    <n v="153625"/>
    <n v="2455022"/>
    <n v="6.26"/>
  </r>
  <r>
    <x v="2"/>
    <x v="0"/>
    <x v="11"/>
    <s v="Spirits"/>
    <n v="646135"/>
    <n v="4634346"/>
    <n v="13.94"/>
  </r>
  <r>
    <x v="3"/>
    <x v="0"/>
    <x v="11"/>
    <s v="Spirits"/>
    <n v="243436"/>
    <n v="3015481"/>
    <n v="8.07"/>
  </r>
  <r>
    <x v="4"/>
    <x v="0"/>
    <x v="11"/>
    <s v="Spirits"/>
    <n v="2326231"/>
    <n v="17722275"/>
    <n v="13.13"/>
  </r>
  <r>
    <x v="5"/>
    <x v="0"/>
    <x v="11"/>
    <s v="Spirits"/>
    <n v="1094431"/>
    <n v="10556100"/>
    <n v="10.37"/>
  </r>
  <r>
    <x v="6"/>
    <x v="0"/>
    <x v="11"/>
    <s v="Spirits"/>
    <n v="169481"/>
    <n v="2356231"/>
    <n v="7.19"/>
  </r>
  <r>
    <x v="7"/>
    <x v="0"/>
    <x v="11"/>
    <s v="Spirits"/>
    <n v="274670"/>
    <n v="3670568"/>
    <n v="7.48"/>
  </r>
  <r>
    <x v="8"/>
    <x v="0"/>
    <x v="11"/>
    <s v="Spirits"/>
    <n v="400362"/>
    <n v="3807282"/>
    <n v="10.52"/>
  </r>
  <r>
    <x v="9"/>
    <x v="0"/>
    <x v="11"/>
    <s v="Spirits"/>
    <n v="707646"/>
    <n v="5815595"/>
    <n v="12.17"/>
  </r>
  <r>
    <x v="10"/>
    <x v="0"/>
    <x v="11"/>
    <s v="Spirits"/>
    <n v="468663"/>
    <n v="5037634"/>
    <n v="9.3000000000000007"/>
  </r>
  <r>
    <x v="11"/>
    <x v="0"/>
    <x v="11"/>
    <s v="Spirits"/>
    <n v="81518"/>
    <n v="613251"/>
    <n v="13.29"/>
  </r>
  <r>
    <x v="12"/>
    <x v="0"/>
    <x v="11"/>
    <s v="Spirits"/>
    <n v="1861099"/>
    <n v="22572383"/>
    <n v="8.25"/>
  </r>
  <r>
    <x v="13"/>
    <x v="0"/>
    <x v="11"/>
    <s v="Spirits"/>
    <n v="524224"/>
    <n v="7015247"/>
    <n v="7.47"/>
  </r>
  <r>
    <x v="14"/>
    <x v="0"/>
    <x v="11"/>
    <s v="Spirits"/>
    <n v="517552"/>
    <n v="4805415"/>
    <n v="10.77"/>
  </r>
  <r>
    <x v="0"/>
    <x v="0"/>
    <x v="11"/>
    <s v="Wine"/>
    <n v="28685"/>
    <n v="593378"/>
    <n v="4.83"/>
  </r>
  <r>
    <x v="1"/>
    <x v="0"/>
    <x v="11"/>
    <s v="Wine"/>
    <n v="58647"/>
    <n v="2455022"/>
    <n v="2.39"/>
  </r>
  <r>
    <x v="2"/>
    <x v="0"/>
    <x v="11"/>
    <s v="Wine"/>
    <n v="255828"/>
    <n v="4634346"/>
    <n v="5.52"/>
  </r>
  <r>
    <x v="3"/>
    <x v="0"/>
    <x v="11"/>
    <s v="Wine"/>
    <n v="175353"/>
    <n v="3015481"/>
    <n v="5.82"/>
  </r>
  <r>
    <x v="4"/>
    <x v="0"/>
    <x v="11"/>
    <s v="Wine"/>
    <n v="904268"/>
    <n v="17722275"/>
    <n v="5.0999999999999996"/>
  </r>
  <r>
    <x v="5"/>
    <x v="0"/>
    <x v="11"/>
    <s v="Wine"/>
    <n v="538400"/>
    <n v="10556100"/>
    <n v="5.0999999999999996"/>
  </r>
  <r>
    <x v="7"/>
    <x v="0"/>
    <x v="11"/>
    <s v="Wine"/>
    <n v="78083"/>
    <n v="3670568"/>
    <n v="2.13"/>
  </r>
  <r>
    <x v="8"/>
    <x v="0"/>
    <x v="11"/>
    <s v="Wine"/>
    <n v="136057"/>
    <n v="3807282"/>
    <n v="3.57"/>
  </r>
  <r>
    <x v="9"/>
    <x v="0"/>
    <x v="11"/>
    <s v="Wine"/>
    <n v="453625"/>
    <n v="5815595"/>
    <n v="7.8"/>
  </r>
  <r>
    <x v="10"/>
    <x v="0"/>
    <x v="11"/>
    <s v="Wine"/>
    <n v="175249"/>
    <n v="5037634"/>
    <n v="3.48"/>
  </r>
  <r>
    <x v="11"/>
    <x v="0"/>
    <x v="11"/>
    <s v="Wine"/>
    <n v="24817"/>
    <n v="613251"/>
    <n v="4.05"/>
  </r>
  <r>
    <x v="15"/>
    <x v="0"/>
    <x v="11"/>
    <s v="Wine"/>
    <n v="181188"/>
    <n v="3468412"/>
    <n v="5.22"/>
  </r>
  <r>
    <x v="12"/>
    <x v="0"/>
    <x v="11"/>
    <s v="Wine"/>
    <n v="731395"/>
    <n v="22572383"/>
    <n v="3.24"/>
  </r>
  <r>
    <x v="13"/>
    <x v="0"/>
    <x v="11"/>
    <s v="Wine"/>
    <n v="338920"/>
    <n v="7015247"/>
    <n v="4.83"/>
  </r>
  <r>
    <x v="14"/>
    <x v="0"/>
    <x v="11"/>
    <s v="Wine"/>
    <n v="195405"/>
    <n v="4805415"/>
    <n v="4.07"/>
  </r>
  <r>
    <x v="0"/>
    <x v="0"/>
    <x v="11"/>
    <s v="Beer"/>
    <n v="42832"/>
    <n v="593378"/>
    <n v="7.22"/>
  </r>
  <r>
    <x v="1"/>
    <x v="0"/>
    <x v="11"/>
    <s v="Beer"/>
    <n v="159974"/>
    <n v="2455022"/>
    <n v="6.52"/>
  </r>
  <r>
    <x v="2"/>
    <x v="0"/>
    <x v="11"/>
    <s v="Beer"/>
    <n v="402324"/>
    <n v="4634346"/>
    <n v="8.68"/>
  </r>
  <r>
    <x v="3"/>
    <x v="0"/>
    <x v="11"/>
    <s v="Beer"/>
    <n v="195039"/>
    <n v="3015481"/>
    <n v="6.47"/>
  </r>
  <r>
    <x v="4"/>
    <x v="0"/>
    <x v="11"/>
    <s v="Beer"/>
    <n v="1631385"/>
    <n v="17722275"/>
    <n v="9.2100000000000009"/>
  </r>
  <r>
    <x v="5"/>
    <x v="0"/>
    <x v="11"/>
    <s v="Beer"/>
    <n v="930655"/>
    <n v="10556100"/>
    <n v="8.82"/>
  </r>
  <r>
    <x v="6"/>
    <x v="0"/>
    <x v="11"/>
    <s v="Beer"/>
    <n v="200457"/>
    <n v="2356231"/>
    <n v="8.51"/>
  </r>
  <r>
    <x v="7"/>
    <x v="0"/>
    <x v="11"/>
    <s v="Beer"/>
    <n v="261359"/>
    <n v="3670568"/>
    <n v="7.12"/>
  </r>
  <r>
    <x v="9"/>
    <x v="0"/>
    <x v="11"/>
    <s v="Beer"/>
    <n v="408434"/>
    <n v="5815595"/>
    <n v="7.02"/>
  </r>
  <r>
    <x v="10"/>
    <x v="0"/>
    <x v="11"/>
    <s v="Beer"/>
    <n v="388067"/>
    <n v="5037634"/>
    <n v="7.7"/>
  </r>
  <r>
    <x v="11"/>
    <x v="0"/>
    <x v="11"/>
    <s v="Beer"/>
    <n v="56250"/>
    <n v="613251"/>
    <n v="9.17"/>
  </r>
  <r>
    <x v="15"/>
    <x v="0"/>
    <x v="11"/>
    <s v="Beer"/>
    <n v="308905"/>
    <n v="3468412"/>
    <n v="8.91"/>
  </r>
  <r>
    <x v="12"/>
    <x v="0"/>
    <x v="11"/>
    <s v="Beer"/>
    <n v="2765874"/>
    <n v="22572383"/>
    <n v="12.25"/>
  </r>
  <r>
    <x v="13"/>
    <x v="0"/>
    <x v="11"/>
    <s v="Beer"/>
    <n v="529290"/>
    <n v="7015247"/>
    <n v="7.54"/>
  </r>
  <r>
    <x v="0"/>
    <x v="1"/>
    <x v="0"/>
    <s v="Spirits"/>
    <n v="40474"/>
    <n v="590760"/>
    <n v="6.85"/>
  </r>
  <r>
    <x v="1"/>
    <x v="1"/>
    <x v="0"/>
    <s v="Spirits"/>
    <n v="133187"/>
    <n v="2465297"/>
    <n v="5.4"/>
  </r>
  <r>
    <x v="2"/>
    <x v="1"/>
    <x v="0"/>
    <s v="Spirits"/>
    <n v="336126"/>
    <n v="4715895"/>
    <n v="7.13"/>
  </r>
  <r>
    <x v="3"/>
    <x v="1"/>
    <x v="0"/>
    <s v="Spirits"/>
    <n v="185030"/>
    <n v="3019150"/>
    <n v="6.13"/>
  </r>
  <r>
    <x v="4"/>
    <x v="1"/>
    <x v="0"/>
    <s v="Spirits"/>
    <n v="1245453"/>
    <n v="17980787"/>
    <n v="6.93"/>
  </r>
  <r>
    <x v="5"/>
    <x v="1"/>
    <x v="0"/>
    <s v="Spirits"/>
    <n v="463274"/>
    <n v="10533371"/>
    <n v="4.4000000000000004"/>
  </r>
  <r>
    <x v="6"/>
    <x v="1"/>
    <x v="0"/>
    <s v="Spirits"/>
    <n v="126814"/>
    <n v="2364319"/>
    <n v="5.36"/>
  </r>
  <r>
    <x v="7"/>
    <x v="1"/>
    <x v="0"/>
    <s v="Spirits"/>
    <n v="314303"/>
    <n v="3681254"/>
    <n v="8.5399999999999991"/>
  </r>
  <r>
    <x v="8"/>
    <x v="1"/>
    <x v="0"/>
    <s v="Spirits"/>
    <n v="290228"/>
    <n v="3803169"/>
    <n v="7.63"/>
  </r>
  <r>
    <x v="9"/>
    <x v="1"/>
    <x v="0"/>
    <s v="Spirits"/>
    <n v="261946"/>
    <n v="5844357"/>
    <n v="4.4800000000000004"/>
  </r>
  <r>
    <x v="10"/>
    <x v="1"/>
    <x v="0"/>
    <s v="Spirits"/>
    <n v="279055"/>
    <n v="5056750"/>
    <n v="5.52"/>
  </r>
  <r>
    <x v="11"/>
    <x v="1"/>
    <x v="0"/>
    <s v="Spirits"/>
    <n v="54285"/>
    <n v="615077"/>
    <n v="8.83"/>
  </r>
  <r>
    <x v="12"/>
    <x v="1"/>
    <x v="0"/>
    <s v="Spirits"/>
    <n v="1612663"/>
    <n v="22899863"/>
    <n v="7.04"/>
  </r>
  <r>
    <x v="13"/>
    <x v="1"/>
    <x v="0"/>
    <s v="Spirits"/>
    <n v="339915"/>
    <n v="7056421"/>
    <n v="4.82"/>
  </r>
  <r>
    <x v="14"/>
    <x v="1"/>
    <x v="0"/>
    <s v="Spirits"/>
    <n v="559264"/>
    <n v="4829270"/>
    <n v="11.58"/>
  </r>
  <r>
    <x v="0"/>
    <x v="1"/>
    <x v="0"/>
    <s v="Wine"/>
    <n v="18400"/>
    <n v="590760"/>
    <n v="3.11"/>
  </r>
  <r>
    <x v="1"/>
    <x v="1"/>
    <x v="0"/>
    <s v="Wine"/>
    <n v="59547"/>
    <n v="2465297"/>
    <n v="2.42"/>
  </r>
  <r>
    <x v="2"/>
    <x v="1"/>
    <x v="0"/>
    <s v="Wine"/>
    <n v="156069"/>
    <n v="4715895"/>
    <n v="3.31"/>
  </r>
  <r>
    <x v="3"/>
    <x v="1"/>
    <x v="0"/>
    <s v="Wine"/>
    <n v="113165"/>
    <n v="3019150"/>
    <n v="3.75"/>
  </r>
  <r>
    <x v="4"/>
    <x v="1"/>
    <x v="0"/>
    <s v="Wine"/>
    <n v="785126"/>
    <n v="17980787"/>
    <n v="4.37"/>
  </r>
  <r>
    <x v="5"/>
    <x v="1"/>
    <x v="0"/>
    <s v="Wine"/>
    <n v="293673"/>
    <n v="10533371"/>
    <n v="2.79"/>
  </r>
  <r>
    <x v="7"/>
    <x v="1"/>
    <x v="0"/>
    <s v="Wine"/>
    <n v="95200"/>
    <n v="3681254"/>
    <n v="2.59"/>
  </r>
  <r>
    <x v="8"/>
    <x v="1"/>
    <x v="0"/>
    <s v="Wine"/>
    <n v="97638"/>
    <n v="3803169"/>
    <n v="2.57"/>
  </r>
  <r>
    <x v="9"/>
    <x v="1"/>
    <x v="0"/>
    <s v="Wine"/>
    <n v="187796"/>
    <n v="5844357"/>
    <n v="3.21"/>
  </r>
  <r>
    <x v="10"/>
    <x v="1"/>
    <x v="0"/>
    <s v="Wine"/>
    <n v="142493"/>
    <n v="5056750"/>
    <n v="2.82"/>
  </r>
  <r>
    <x v="11"/>
    <x v="1"/>
    <x v="0"/>
    <s v="Wine"/>
    <n v="11893"/>
    <n v="615077"/>
    <n v="1.93"/>
  </r>
  <r>
    <x v="15"/>
    <x v="1"/>
    <x v="0"/>
    <s v="Wine"/>
    <n v="168784"/>
    <n v="3509161"/>
    <n v="4.8099999999999996"/>
  </r>
  <r>
    <x v="12"/>
    <x v="1"/>
    <x v="0"/>
    <s v="Wine"/>
    <n v="751321"/>
    <n v="22899863"/>
    <n v="3.28"/>
  </r>
  <r>
    <x v="13"/>
    <x v="1"/>
    <x v="0"/>
    <s v="Wine"/>
    <n v="255328"/>
    <n v="7056421"/>
    <n v="3.62"/>
  </r>
  <r>
    <x v="14"/>
    <x v="1"/>
    <x v="0"/>
    <s v="Wine"/>
    <n v="160868"/>
    <n v="4829270"/>
    <n v="3.33"/>
  </r>
  <r>
    <x v="0"/>
    <x v="1"/>
    <x v="0"/>
    <s v="Beer"/>
    <n v="38406"/>
    <n v="590760"/>
    <n v="6.5"/>
  </r>
  <r>
    <x v="1"/>
    <x v="1"/>
    <x v="0"/>
    <s v="Beer"/>
    <n v="154479"/>
    <n v="2465297"/>
    <n v="6.27"/>
  </r>
  <r>
    <x v="2"/>
    <x v="1"/>
    <x v="0"/>
    <s v="Beer"/>
    <n v="369988"/>
    <n v="4715895"/>
    <n v="7.85"/>
  </r>
  <r>
    <x v="3"/>
    <x v="1"/>
    <x v="0"/>
    <s v="Beer"/>
    <n v="156397"/>
    <n v="3019150"/>
    <n v="5.18"/>
  </r>
  <r>
    <x v="4"/>
    <x v="1"/>
    <x v="0"/>
    <s v="Beer"/>
    <n v="1388555"/>
    <n v="17980787"/>
    <n v="7.72"/>
  </r>
  <r>
    <x v="5"/>
    <x v="1"/>
    <x v="0"/>
    <s v="Beer"/>
    <n v="733135"/>
    <n v="10533371"/>
    <n v="6.96"/>
  </r>
  <r>
    <x v="6"/>
    <x v="1"/>
    <x v="0"/>
    <s v="Beer"/>
    <n v="156936"/>
    <n v="2364319"/>
    <n v="6.64"/>
  </r>
  <r>
    <x v="7"/>
    <x v="1"/>
    <x v="0"/>
    <s v="Beer"/>
    <n v="234887"/>
    <n v="3681254"/>
    <n v="6.38"/>
  </r>
  <r>
    <x v="9"/>
    <x v="1"/>
    <x v="0"/>
    <s v="Beer"/>
    <n v="385707"/>
    <n v="5844357"/>
    <n v="6.6"/>
  </r>
  <r>
    <x v="10"/>
    <x v="1"/>
    <x v="0"/>
    <s v="Beer"/>
    <n v="388586"/>
    <n v="5056750"/>
    <n v="7.68"/>
  </r>
  <r>
    <x v="11"/>
    <x v="1"/>
    <x v="0"/>
    <s v="Beer"/>
    <n v="72033"/>
    <n v="615077"/>
    <n v="11.71"/>
  </r>
  <r>
    <x v="15"/>
    <x v="1"/>
    <x v="0"/>
    <s v="Beer"/>
    <n v="268267"/>
    <n v="3509161"/>
    <n v="7.64"/>
  </r>
  <r>
    <x v="12"/>
    <x v="1"/>
    <x v="0"/>
    <s v="Beer"/>
    <n v="2246276"/>
    <n v="22899863"/>
    <n v="9.81"/>
  </r>
  <r>
    <x v="13"/>
    <x v="1"/>
    <x v="0"/>
    <s v="Beer"/>
    <n v="465210"/>
    <n v="7056421"/>
    <n v="6.59"/>
  </r>
  <r>
    <x v="0"/>
    <x v="1"/>
    <x v="1"/>
    <s v="Spirits"/>
    <n v="47469"/>
    <n v="590760"/>
    <n v="8.0399999999999991"/>
  </r>
  <r>
    <x v="1"/>
    <x v="1"/>
    <x v="1"/>
    <s v="Spirits"/>
    <n v="108309"/>
    <n v="2465297"/>
    <n v="4.3899999999999997"/>
  </r>
  <r>
    <x v="2"/>
    <x v="1"/>
    <x v="1"/>
    <s v="Spirits"/>
    <n v="388788"/>
    <n v="4715895"/>
    <n v="8.24"/>
  </r>
  <r>
    <x v="3"/>
    <x v="1"/>
    <x v="1"/>
    <s v="Spirits"/>
    <n v="239377"/>
    <n v="3019150"/>
    <n v="7.93"/>
  </r>
  <r>
    <x v="4"/>
    <x v="1"/>
    <x v="1"/>
    <s v="Spirits"/>
    <n v="1382215"/>
    <n v="17980787"/>
    <n v="7.69"/>
  </r>
  <r>
    <x v="5"/>
    <x v="1"/>
    <x v="1"/>
    <s v="Spirits"/>
    <n v="597226"/>
    <n v="10533371"/>
    <n v="5.67"/>
  </r>
  <r>
    <x v="6"/>
    <x v="1"/>
    <x v="1"/>
    <s v="Spirits"/>
    <n v="129087"/>
    <n v="2364319"/>
    <n v="5.46"/>
  </r>
  <r>
    <x v="7"/>
    <x v="1"/>
    <x v="1"/>
    <s v="Spirits"/>
    <n v="190798"/>
    <n v="3681254"/>
    <n v="5.18"/>
  </r>
  <r>
    <x v="8"/>
    <x v="1"/>
    <x v="1"/>
    <s v="Spirits"/>
    <n v="290895"/>
    <n v="3803169"/>
    <n v="7.65"/>
  </r>
  <r>
    <x v="9"/>
    <x v="1"/>
    <x v="1"/>
    <s v="Spirits"/>
    <n v="343821"/>
    <n v="5844357"/>
    <n v="5.88"/>
  </r>
  <r>
    <x v="10"/>
    <x v="1"/>
    <x v="1"/>
    <s v="Spirits"/>
    <n v="372179"/>
    <n v="5056750"/>
    <n v="7.36"/>
  </r>
  <r>
    <x v="11"/>
    <x v="1"/>
    <x v="1"/>
    <s v="Spirits"/>
    <n v="59670"/>
    <n v="615077"/>
    <n v="9.6999999999999993"/>
  </r>
  <r>
    <x v="12"/>
    <x v="1"/>
    <x v="1"/>
    <s v="Spirits"/>
    <n v="1269036"/>
    <n v="22899863"/>
    <n v="5.54"/>
  </r>
  <r>
    <x v="13"/>
    <x v="1"/>
    <x v="1"/>
    <s v="Spirits"/>
    <n v="347350"/>
    <n v="7056421"/>
    <n v="4.92"/>
  </r>
  <r>
    <x v="14"/>
    <x v="1"/>
    <x v="1"/>
    <s v="Spirits"/>
    <n v="284305"/>
    <n v="4829270"/>
    <n v="5.89"/>
  </r>
  <r>
    <x v="0"/>
    <x v="1"/>
    <x v="1"/>
    <s v="Wine"/>
    <n v="22273"/>
    <n v="590760"/>
    <n v="3.77"/>
  </r>
  <r>
    <x v="1"/>
    <x v="1"/>
    <x v="1"/>
    <s v="Wine"/>
    <n v="52351"/>
    <n v="2465297"/>
    <n v="2.12"/>
  </r>
  <r>
    <x v="2"/>
    <x v="1"/>
    <x v="1"/>
    <s v="Wine"/>
    <n v="191976"/>
    <n v="4715895"/>
    <n v="4.07"/>
  </r>
  <r>
    <x v="3"/>
    <x v="1"/>
    <x v="1"/>
    <s v="Wine"/>
    <n v="140085"/>
    <n v="3019150"/>
    <n v="4.6399999999999997"/>
  </r>
  <r>
    <x v="4"/>
    <x v="1"/>
    <x v="1"/>
    <s v="Wine"/>
    <n v="802713"/>
    <n v="17980787"/>
    <n v="4.46"/>
  </r>
  <r>
    <x v="5"/>
    <x v="1"/>
    <x v="1"/>
    <s v="Wine"/>
    <n v="348200"/>
    <n v="10533371"/>
    <n v="3.31"/>
  </r>
  <r>
    <x v="7"/>
    <x v="1"/>
    <x v="1"/>
    <s v="Wine"/>
    <n v="55356"/>
    <n v="3681254"/>
    <n v="1.5"/>
  </r>
  <r>
    <x v="8"/>
    <x v="1"/>
    <x v="1"/>
    <s v="Wine"/>
    <n v="98888"/>
    <n v="3803169"/>
    <n v="2.6"/>
  </r>
  <r>
    <x v="9"/>
    <x v="1"/>
    <x v="1"/>
    <s v="Wine"/>
    <n v="255068"/>
    <n v="5844357"/>
    <n v="4.3600000000000003"/>
  </r>
  <r>
    <x v="10"/>
    <x v="1"/>
    <x v="1"/>
    <s v="Wine"/>
    <n v="137422"/>
    <n v="5056750"/>
    <n v="2.72"/>
  </r>
  <r>
    <x v="11"/>
    <x v="1"/>
    <x v="1"/>
    <s v="Wine"/>
    <n v="14127"/>
    <n v="615077"/>
    <n v="2.2999999999999998"/>
  </r>
  <r>
    <x v="15"/>
    <x v="1"/>
    <x v="1"/>
    <s v="Wine"/>
    <n v="154155"/>
    <n v="3509161"/>
    <n v="4.3899999999999997"/>
  </r>
  <r>
    <x v="12"/>
    <x v="1"/>
    <x v="1"/>
    <s v="Wine"/>
    <n v="589946"/>
    <n v="22899863"/>
    <n v="2.58"/>
  </r>
  <r>
    <x v="13"/>
    <x v="1"/>
    <x v="1"/>
    <s v="Wine"/>
    <n v="252397"/>
    <n v="7056421"/>
    <n v="3.58"/>
  </r>
  <r>
    <x v="14"/>
    <x v="1"/>
    <x v="1"/>
    <s v="Wine"/>
    <n v="140292"/>
    <n v="4829270"/>
    <n v="2.91"/>
  </r>
  <r>
    <x v="0"/>
    <x v="1"/>
    <x v="1"/>
    <s v="Beer"/>
    <n v="36015"/>
    <n v="590760"/>
    <n v="6.1"/>
  </r>
  <r>
    <x v="1"/>
    <x v="1"/>
    <x v="1"/>
    <s v="Beer"/>
    <n v="133500"/>
    <n v="2465297"/>
    <n v="5.42"/>
  </r>
  <r>
    <x v="2"/>
    <x v="1"/>
    <x v="1"/>
    <s v="Beer"/>
    <n v="343692"/>
    <n v="4715895"/>
    <n v="7.29"/>
  </r>
  <r>
    <x v="3"/>
    <x v="1"/>
    <x v="1"/>
    <s v="Beer"/>
    <n v="156486"/>
    <n v="3019150"/>
    <n v="5.18"/>
  </r>
  <r>
    <x v="4"/>
    <x v="1"/>
    <x v="1"/>
    <s v="Beer"/>
    <n v="1442754"/>
    <n v="17980787"/>
    <n v="8.02"/>
  </r>
  <r>
    <x v="5"/>
    <x v="1"/>
    <x v="1"/>
    <s v="Beer"/>
    <n v="713107"/>
    <n v="10533371"/>
    <n v="6.77"/>
  </r>
  <r>
    <x v="6"/>
    <x v="1"/>
    <x v="1"/>
    <s v="Beer"/>
    <n v="176439"/>
    <n v="2364319"/>
    <n v="7.46"/>
  </r>
  <r>
    <x v="7"/>
    <x v="1"/>
    <x v="1"/>
    <s v="Beer"/>
    <n v="192433"/>
    <n v="3681254"/>
    <n v="5.23"/>
  </r>
  <r>
    <x v="9"/>
    <x v="1"/>
    <x v="1"/>
    <s v="Beer"/>
    <n v="353330"/>
    <n v="5844357"/>
    <n v="6.05"/>
  </r>
  <r>
    <x v="10"/>
    <x v="1"/>
    <x v="1"/>
    <s v="Beer"/>
    <n v="399632"/>
    <n v="5056750"/>
    <n v="7.9"/>
  </r>
  <r>
    <x v="11"/>
    <x v="1"/>
    <x v="1"/>
    <s v="Beer"/>
    <n v="59466"/>
    <n v="615077"/>
    <n v="9.67"/>
  </r>
  <r>
    <x v="15"/>
    <x v="1"/>
    <x v="1"/>
    <s v="Beer"/>
    <n v="322851"/>
    <n v="3509161"/>
    <n v="9.1999999999999993"/>
  </r>
  <r>
    <x v="12"/>
    <x v="1"/>
    <x v="1"/>
    <s v="Beer"/>
    <n v="1809564"/>
    <n v="22899863"/>
    <n v="7.9"/>
  </r>
  <r>
    <x v="13"/>
    <x v="1"/>
    <x v="1"/>
    <s v="Beer"/>
    <n v="443109"/>
    <n v="7056421"/>
    <n v="6.28"/>
  </r>
  <r>
    <x v="0"/>
    <x v="1"/>
    <x v="2"/>
    <s v="Spirits"/>
    <n v="60204"/>
    <n v="590760"/>
    <n v="10.19"/>
  </r>
  <r>
    <x v="1"/>
    <x v="1"/>
    <x v="2"/>
    <s v="Spirits"/>
    <n v="127275"/>
    <n v="2465297"/>
    <n v="5.16"/>
  </r>
  <r>
    <x v="2"/>
    <x v="1"/>
    <x v="2"/>
    <s v="Spirits"/>
    <n v="463566"/>
    <n v="4715895"/>
    <n v="9.83"/>
  </r>
  <r>
    <x v="3"/>
    <x v="1"/>
    <x v="2"/>
    <s v="Spirits"/>
    <n v="238873"/>
    <n v="3019150"/>
    <n v="7.91"/>
  </r>
  <r>
    <x v="4"/>
    <x v="1"/>
    <x v="2"/>
    <s v="Spirits"/>
    <n v="1746057"/>
    <n v="17980787"/>
    <n v="9.7100000000000009"/>
  </r>
  <r>
    <x v="5"/>
    <x v="1"/>
    <x v="2"/>
    <s v="Spirits"/>
    <n v="717139"/>
    <n v="10533371"/>
    <n v="6.81"/>
  </r>
  <r>
    <x v="6"/>
    <x v="1"/>
    <x v="2"/>
    <s v="Spirits"/>
    <n v="133325"/>
    <n v="2364319"/>
    <n v="5.64"/>
  </r>
  <r>
    <x v="7"/>
    <x v="1"/>
    <x v="2"/>
    <s v="Spirits"/>
    <n v="206118"/>
    <n v="3681254"/>
    <n v="5.6"/>
  </r>
  <r>
    <x v="8"/>
    <x v="1"/>
    <x v="2"/>
    <s v="Spirits"/>
    <n v="298327"/>
    <n v="3803169"/>
    <n v="7.84"/>
  </r>
  <r>
    <x v="9"/>
    <x v="1"/>
    <x v="2"/>
    <s v="Spirits"/>
    <n v="483764"/>
    <n v="5844357"/>
    <n v="8.2799999999999994"/>
  </r>
  <r>
    <x v="10"/>
    <x v="1"/>
    <x v="2"/>
    <s v="Spirits"/>
    <n v="435498"/>
    <n v="5056750"/>
    <n v="8.61"/>
  </r>
  <r>
    <x v="11"/>
    <x v="1"/>
    <x v="2"/>
    <s v="Spirits"/>
    <n v="59667"/>
    <n v="615077"/>
    <n v="9.6999999999999993"/>
  </r>
  <r>
    <x v="12"/>
    <x v="1"/>
    <x v="2"/>
    <s v="Spirits"/>
    <n v="1145236"/>
    <n v="22899863"/>
    <n v="5"/>
  </r>
  <r>
    <x v="13"/>
    <x v="1"/>
    <x v="2"/>
    <s v="Spirits"/>
    <n v="412371"/>
    <n v="7056421"/>
    <n v="5.84"/>
  </r>
  <r>
    <x v="14"/>
    <x v="1"/>
    <x v="2"/>
    <s v="Spirits"/>
    <n v="560851"/>
    <n v="4829270"/>
    <n v="11.61"/>
  </r>
  <r>
    <x v="0"/>
    <x v="1"/>
    <x v="2"/>
    <s v="Wine"/>
    <n v="22483"/>
    <n v="590760"/>
    <n v="3.81"/>
  </r>
  <r>
    <x v="1"/>
    <x v="1"/>
    <x v="2"/>
    <s v="Wine"/>
    <n v="35343"/>
    <n v="2465297"/>
    <n v="1.43"/>
  </r>
  <r>
    <x v="2"/>
    <x v="1"/>
    <x v="2"/>
    <s v="Wine"/>
    <n v="188622"/>
    <n v="4715895"/>
    <n v="4"/>
  </r>
  <r>
    <x v="3"/>
    <x v="1"/>
    <x v="2"/>
    <s v="Wine"/>
    <n v="151400"/>
    <n v="3019150"/>
    <n v="5.01"/>
  </r>
  <r>
    <x v="4"/>
    <x v="1"/>
    <x v="2"/>
    <s v="Wine"/>
    <n v="860714"/>
    <n v="17980787"/>
    <n v="4.79"/>
  </r>
  <r>
    <x v="5"/>
    <x v="1"/>
    <x v="2"/>
    <s v="Wine"/>
    <n v="366587"/>
    <n v="10533371"/>
    <n v="3.48"/>
  </r>
  <r>
    <x v="7"/>
    <x v="1"/>
    <x v="2"/>
    <s v="Wine"/>
    <n v="56260"/>
    <n v="3681254"/>
    <n v="1.53"/>
  </r>
  <r>
    <x v="8"/>
    <x v="1"/>
    <x v="2"/>
    <s v="Wine"/>
    <n v="105515"/>
    <n v="3803169"/>
    <n v="2.77"/>
  </r>
  <r>
    <x v="9"/>
    <x v="1"/>
    <x v="2"/>
    <s v="Wine"/>
    <n v="296494"/>
    <n v="5844357"/>
    <n v="5.07"/>
  </r>
  <r>
    <x v="10"/>
    <x v="1"/>
    <x v="2"/>
    <s v="Wine"/>
    <n v="158550"/>
    <n v="5056750"/>
    <n v="3.14"/>
  </r>
  <r>
    <x v="11"/>
    <x v="1"/>
    <x v="2"/>
    <s v="Wine"/>
    <n v="17172"/>
    <n v="615077"/>
    <n v="2.79"/>
  </r>
  <r>
    <x v="15"/>
    <x v="1"/>
    <x v="2"/>
    <s v="Wine"/>
    <n v="127673"/>
    <n v="3509161"/>
    <n v="3.64"/>
  </r>
  <r>
    <x v="12"/>
    <x v="1"/>
    <x v="2"/>
    <s v="Wine"/>
    <n v="604651"/>
    <n v="22899863"/>
    <n v="2.64"/>
  </r>
  <r>
    <x v="13"/>
    <x v="1"/>
    <x v="2"/>
    <s v="Wine"/>
    <n v="278359"/>
    <n v="7056421"/>
    <n v="3.94"/>
  </r>
  <r>
    <x v="14"/>
    <x v="1"/>
    <x v="2"/>
    <s v="Wine"/>
    <n v="133008"/>
    <n v="4829270"/>
    <n v="2.75"/>
  </r>
  <r>
    <x v="0"/>
    <x v="1"/>
    <x v="2"/>
    <s v="Beer"/>
    <n v="46977"/>
    <n v="590760"/>
    <n v="7.95"/>
  </r>
  <r>
    <x v="1"/>
    <x v="1"/>
    <x v="2"/>
    <s v="Beer"/>
    <n v="172212"/>
    <n v="2465297"/>
    <n v="6.99"/>
  </r>
  <r>
    <x v="2"/>
    <x v="1"/>
    <x v="2"/>
    <s v="Beer"/>
    <n v="408455"/>
    <n v="4715895"/>
    <n v="8.66"/>
  </r>
  <r>
    <x v="3"/>
    <x v="1"/>
    <x v="2"/>
    <s v="Beer"/>
    <n v="182357"/>
    <n v="3019150"/>
    <n v="6.04"/>
  </r>
  <r>
    <x v="4"/>
    <x v="1"/>
    <x v="2"/>
    <s v="Beer"/>
    <n v="1798273"/>
    <n v="17980787"/>
    <n v="10"/>
  </r>
  <r>
    <x v="5"/>
    <x v="1"/>
    <x v="2"/>
    <s v="Beer"/>
    <n v="910718"/>
    <n v="10533371"/>
    <n v="8.65"/>
  </r>
  <r>
    <x v="6"/>
    <x v="1"/>
    <x v="2"/>
    <s v="Beer"/>
    <n v="147313"/>
    <n v="2364319"/>
    <n v="6.23"/>
  </r>
  <r>
    <x v="7"/>
    <x v="1"/>
    <x v="2"/>
    <s v="Beer"/>
    <n v="272417"/>
    <n v="3681254"/>
    <n v="7.4"/>
  </r>
  <r>
    <x v="9"/>
    <x v="1"/>
    <x v="2"/>
    <s v="Beer"/>
    <n v="417103"/>
    <n v="5844357"/>
    <n v="7.14"/>
  </r>
  <r>
    <x v="10"/>
    <x v="1"/>
    <x v="2"/>
    <s v="Beer"/>
    <n v="457427"/>
    <n v="5056750"/>
    <n v="9.0500000000000007"/>
  </r>
  <r>
    <x v="11"/>
    <x v="1"/>
    <x v="2"/>
    <s v="Beer"/>
    <n v="72500"/>
    <n v="615077"/>
    <n v="11.79"/>
  </r>
  <r>
    <x v="15"/>
    <x v="1"/>
    <x v="2"/>
    <s v="Beer"/>
    <n v="262640"/>
    <n v="3509161"/>
    <n v="7.48"/>
  </r>
  <r>
    <x v="12"/>
    <x v="1"/>
    <x v="2"/>
    <s v="Beer"/>
    <n v="1849673"/>
    <n v="22899863"/>
    <n v="8.08"/>
  </r>
  <r>
    <x v="13"/>
    <x v="1"/>
    <x v="2"/>
    <s v="Beer"/>
    <n v="525613"/>
    <n v="7056421"/>
    <n v="7.45"/>
  </r>
  <r>
    <x v="0"/>
    <x v="1"/>
    <x v="3"/>
    <s v="Spirits"/>
    <n v="53604"/>
    <n v="590760"/>
    <n v="9.07"/>
  </r>
  <r>
    <x v="1"/>
    <x v="1"/>
    <x v="3"/>
    <s v="Spirits"/>
    <n v="143676"/>
    <n v="2465297"/>
    <n v="5.83"/>
  </r>
  <r>
    <x v="2"/>
    <x v="1"/>
    <x v="3"/>
    <s v="Spirits"/>
    <n v="404253"/>
    <n v="4715895"/>
    <n v="8.57"/>
  </r>
  <r>
    <x v="3"/>
    <x v="1"/>
    <x v="3"/>
    <s v="Spirits"/>
    <n v="237436"/>
    <n v="3019150"/>
    <n v="7.86"/>
  </r>
  <r>
    <x v="4"/>
    <x v="1"/>
    <x v="3"/>
    <s v="Spirits"/>
    <n v="1316347"/>
    <n v="17980787"/>
    <n v="7.32"/>
  </r>
  <r>
    <x v="5"/>
    <x v="1"/>
    <x v="3"/>
    <s v="Spirits"/>
    <n v="644336"/>
    <n v="10533371"/>
    <n v="6.12"/>
  </r>
  <r>
    <x v="6"/>
    <x v="1"/>
    <x v="3"/>
    <s v="Spirits"/>
    <n v="146159"/>
    <n v="2364319"/>
    <n v="6.18"/>
  </r>
  <r>
    <x v="7"/>
    <x v="1"/>
    <x v="3"/>
    <s v="Spirits"/>
    <n v="270585"/>
    <n v="3681254"/>
    <n v="7.35"/>
  </r>
  <r>
    <x v="8"/>
    <x v="1"/>
    <x v="3"/>
    <s v="Spirits"/>
    <n v="313855"/>
    <n v="3803169"/>
    <n v="8.25"/>
  </r>
  <r>
    <x v="9"/>
    <x v="1"/>
    <x v="3"/>
    <s v="Spirits"/>
    <n v="464646"/>
    <n v="5844357"/>
    <n v="7.95"/>
  </r>
  <r>
    <x v="10"/>
    <x v="1"/>
    <x v="3"/>
    <s v="Spirits"/>
    <n v="449734"/>
    <n v="5056750"/>
    <n v="8.89"/>
  </r>
  <r>
    <x v="11"/>
    <x v="1"/>
    <x v="3"/>
    <s v="Spirits"/>
    <n v="61330"/>
    <n v="615077"/>
    <n v="9.9700000000000006"/>
  </r>
  <r>
    <x v="12"/>
    <x v="1"/>
    <x v="3"/>
    <s v="Spirits"/>
    <n v="1414306"/>
    <n v="22899863"/>
    <n v="6.18"/>
  </r>
  <r>
    <x v="13"/>
    <x v="1"/>
    <x v="3"/>
    <s v="Spirits"/>
    <n v="368357"/>
    <n v="7056421"/>
    <n v="5.22"/>
  </r>
  <r>
    <x v="14"/>
    <x v="1"/>
    <x v="3"/>
    <s v="Spirits"/>
    <n v="340431"/>
    <n v="4829270"/>
    <n v="7.05"/>
  </r>
  <r>
    <x v="0"/>
    <x v="1"/>
    <x v="3"/>
    <s v="Wine"/>
    <n v="22259"/>
    <n v="590760"/>
    <n v="3.77"/>
  </r>
  <r>
    <x v="1"/>
    <x v="1"/>
    <x v="3"/>
    <s v="Wine"/>
    <n v="50151"/>
    <n v="2465297"/>
    <n v="2.0299999999999998"/>
  </r>
  <r>
    <x v="2"/>
    <x v="1"/>
    <x v="3"/>
    <s v="Wine"/>
    <n v="176337"/>
    <n v="4715895"/>
    <n v="3.74"/>
  </r>
  <r>
    <x v="3"/>
    <x v="1"/>
    <x v="3"/>
    <s v="Wine"/>
    <n v="135020"/>
    <n v="3019150"/>
    <n v="4.47"/>
  </r>
  <r>
    <x v="4"/>
    <x v="1"/>
    <x v="3"/>
    <s v="Wine"/>
    <n v="756541"/>
    <n v="17980787"/>
    <n v="4.21"/>
  </r>
  <r>
    <x v="5"/>
    <x v="1"/>
    <x v="3"/>
    <s v="Wine"/>
    <n v="353790"/>
    <n v="10533371"/>
    <n v="3.36"/>
  </r>
  <r>
    <x v="7"/>
    <x v="1"/>
    <x v="3"/>
    <s v="Wine"/>
    <n v="64681"/>
    <n v="3681254"/>
    <n v="1.76"/>
  </r>
  <r>
    <x v="8"/>
    <x v="1"/>
    <x v="3"/>
    <s v="Wine"/>
    <n v="103693"/>
    <n v="3803169"/>
    <n v="2.73"/>
  </r>
  <r>
    <x v="9"/>
    <x v="1"/>
    <x v="3"/>
    <s v="Wine"/>
    <n v="273846"/>
    <n v="5844357"/>
    <n v="4.6900000000000004"/>
  </r>
  <r>
    <x v="10"/>
    <x v="1"/>
    <x v="3"/>
    <s v="Wine"/>
    <n v="148441"/>
    <n v="5056750"/>
    <n v="2.94"/>
  </r>
  <r>
    <x v="11"/>
    <x v="1"/>
    <x v="3"/>
    <s v="Wine"/>
    <n v="21347"/>
    <n v="615077"/>
    <n v="3.47"/>
  </r>
  <r>
    <x v="15"/>
    <x v="1"/>
    <x v="3"/>
    <s v="Wine"/>
    <n v="174684"/>
    <n v="3509161"/>
    <n v="4.9800000000000004"/>
  </r>
  <r>
    <x v="12"/>
    <x v="1"/>
    <x v="3"/>
    <s v="Wine"/>
    <n v="658024"/>
    <n v="22899863"/>
    <n v="2.87"/>
  </r>
  <r>
    <x v="13"/>
    <x v="1"/>
    <x v="3"/>
    <s v="Wine"/>
    <n v="273470"/>
    <n v="7056421"/>
    <n v="3.88"/>
  </r>
  <r>
    <x v="14"/>
    <x v="1"/>
    <x v="3"/>
    <s v="Wine"/>
    <n v="159036"/>
    <n v="4829270"/>
    <n v="3.29"/>
  </r>
  <r>
    <x v="0"/>
    <x v="1"/>
    <x v="3"/>
    <s v="Beer"/>
    <n v="47500"/>
    <n v="590760"/>
    <n v="8.0399999999999991"/>
  </r>
  <r>
    <x v="1"/>
    <x v="1"/>
    <x v="3"/>
    <s v="Beer"/>
    <n v="192526"/>
    <n v="2465297"/>
    <n v="7.81"/>
  </r>
  <r>
    <x v="2"/>
    <x v="1"/>
    <x v="3"/>
    <s v="Beer"/>
    <n v="417776"/>
    <n v="4715895"/>
    <n v="8.86"/>
  </r>
  <r>
    <x v="3"/>
    <x v="1"/>
    <x v="3"/>
    <s v="Beer"/>
    <n v="184006"/>
    <n v="3019150"/>
    <n v="6.09"/>
  </r>
  <r>
    <x v="4"/>
    <x v="1"/>
    <x v="3"/>
    <s v="Beer"/>
    <n v="1538907"/>
    <n v="17980787"/>
    <n v="8.56"/>
  </r>
  <r>
    <x v="5"/>
    <x v="1"/>
    <x v="3"/>
    <s v="Beer"/>
    <n v="837870"/>
    <n v="10533371"/>
    <n v="7.95"/>
  </r>
  <r>
    <x v="6"/>
    <x v="1"/>
    <x v="3"/>
    <s v="Beer"/>
    <n v="206517"/>
    <n v="2364319"/>
    <n v="8.73"/>
  </r>
  <r>
    <x v="7"/>
    <x v="1"/>
    <x v="3"/>
    <s v="Beer"/>
    <n v="294142"/>
    <n v="3681254"/>
    <n v="7.99"/>
  </r>
  <r>
    <x v="9"/>
    <x v="1"/>
    <x v="3"/>
    <s v="Beer"/>
    <n v="449586"/>
    <n v="5844357"/>
    <n v="7.69"/>
  </r>
  <r>
    <x v="10"/>
    <x v="1"/>
    <x v="3"/>
    <s v="Beer"/>
    <n v="473101"/>
    <n v="5056750"/>
    <n v="9.36"/>
  </r>
  <r>
    <x v="11"/>
    <x v="1"/>
    <x v="3"/>
    <s v="Beer"/>
    <n v="80573"/>
    <n v="615077"/>
    <n v="13.1"/>
  </r>
  <r>
    <x v="15"/>
    <x v="1"/>
    <x v="3"/>
    <s v="Beer"/>
    <n v="302196"/>
    <n v="3509161"/>
    <n v="8.61"/>
  </r>
  <r>
    <x v="12"/>
    <x v="1"/>
    <x v="3"/>
    <s v="Beer"/>
    <n v="2498038"/>
    <n v="22899863"/>
    <n v="10.91"/>
  </r>
  <r>
    <x v="13"/>
    <x v="1"/>
    <x v="3"/>
    <s v="Beer"/>
    <n v="532145"/>
    <n v="7056421"/>
    <n v="7.54"/>
  </r>
  <r>
    <x v="0"/>
    <x v="1"/>
    <x v="4"/>
    <s v="Spirits"/>
    <n v="70082"/>
    <n v="590760"/>
    <n v="11.86"/>
  </r>
  <r>
    <x v="1"/>
    <x v="1"/>
    <x v="4"/>
    <s v="Spirits"/>
    <n v="141942"/>
    <n v="2465297"/>
    <n v="5.76"/>
  </r>
  <r>
    <x v="2"/>
    <x v="1"/>
    <x v="4"/>
    <s v="Spirits"/>
    <n v="526188"/>
    <n v="4715895"/>
    <n v="11.16"/>
  </r>
  <r>
    <x v="3"/>
    <x v="1"/>
    <x v="4"/>
    <s v="Spirits"/>
    <n v="267882"/>
    <n v="3019150"/>
    <n v="8.8699999999999992"/>
  </r>
  <r>
    <x v="4"/>
    <x v="1"/>
    <x v="4"/>
    <s v="Spirits"/>
    <n v="1824195"/>
    <n v="17980787"/>
    <n v="10.15"/>
  </r>
  <r>
    <x v="5"/>
    <x v="1"/>
    <x v="4"/>
    <s v="Spirits"/>
    <n v="865775"/>
    <n v="10533371"/>
    <n v="8.2200000000000006"/>
  </r>
  <r>
    <x v="6"/>
    <x v="1"/>
    <x v="4"/>
    <s v="Spirits"/>
    <n v="156821"/>
    <n v="2364319"/>
    <n v="6.63"/>
  </r>
  <r>
    <x v="7"/>
    <x v="1"/>
    <x v="4"/>
    <s v="Spirits"/>
    <n v="260609"/>
    <n v="3681254"/>
    <n v="7.08"/>
  </r>
  <r>
    <x v="8"/>
    <x v="1"/>
    <x v="4"/>
    <s v="Spirits"/>
    <n v="356129"/>
    <n v="3803169"/>
    <n v="9.36"/>
  </r>
  <r>
    <x v="9"/>
    <x v="1"/>
    <x v="4"/>
    <s v="Spirits"/>
    <n v="511271"/>
    <n v="5844357"/>
    <n v="8.75"/>
  </r>
  <r>
    <x v="10"/>
    <x v="1"/>
    <x v="4"/>
    <s v="Spirits"/>
    <n v="472771"/>
    <n v="5056750"/>
    <n v="9.35"/>
  </r>
  <r>
    <x v="11"/>
    <x v="1"/>
    <x v="4"/>
    <s v="Spirits"/>
    <n v="73532"/>
    <n v="615077"/>
    <n v="11.95"/>
  </r>
  <r>
    <x v="12"/>
    <x v="1"/>
    <x v="4"/>
    <s v="Spirits"/>
    <n v="1260304"/>
    <n v="22899863"/>
    <n v="5.5"/>
  </r>
  <r>
    <x v="13"/>
    <x v="1"/>
    <x v="4"/>
    <s v="Spirits"/>
    <n v="414123"/>
    <n v="7056421"/>
    <n v="5.87"/>
  </r>
  <r>
    <x v="14"/>
    <x v="1"/>
    <x v="4"/>
    <s v="Spirits"/>
    <n v="579947"/>
    <n v="4829270"/>
    <n v="12.01"/>
  </r>
  <r>
    <x v="0"/>
    <x v="1"/>
    <x v="4"/>
    <s v="Wine"/>
    <n v="29332"/>
    <n v="590760"/>
    <n v="4.97"/>
  </r>
  <r>
    <x v="1"/>
    <x v="1"/>
    <x v="4"/>
    <s v="Wine"/>
    <n v="49846"/>
    <n v="2465297"/>
    <n v="2.02"/>
  </r>
  <r>
    <x v="2"/>
    <x v="1"/>
    <x v="4"/>
    <s v="Wine"/>
    <n v="208957"/>
    <n v="4715895"/>
    <n v="4.43"/>
  </r>
  <r>
    <x v="3"/>
    <x v="1"/>
    <x v="4"/>
    <s v="Wine"/>
    <n v="157170"/>
    <n v="3019150"/>
    <n v="5.21"/>
  </r>
  <r>
    <x v="4"/>
    <x v="1"/>
    <x v="4"/>
    <s v="Wine"/>
    <n v="808772"/>
    <n v="17980787"/>
    <n v="4.5"/>
  </r>
  <r>
    <x v="5"/>
    <x v="1"/>
    <x v="4"/>
    <s v="Wine"/>
    <n v="443319"/>
    <n v="10533371"/>
    <n v="4.21"/>
  </r>
  <r>
    <x v="7"/>
    <x v="1"/>
    <x v="4"/>
    <s v="Wine"/>
    <n v="70075"/>
    <n v="3681254"/>
    <n v="1.9"/>
  </r>
  <r>
    <x v="8"/>
    <x v="1"/>
    <x v="4"/>
    <s v="Wine"/>
    <n v="111727"/>
    <n v="3803169"/>
    <n v="2.94"/>
  </r>
  <r>
    <x v="9"/>
    <x v="1"/>
    <x v="4"/>
    <s v="Wine"/>
    <n v="336487"/>
    <n v="5844357"/>
    <n v="5.76"/>
  </r>
  <r>
    <x v="10"/>
    <x v="1"/>
    <x v="4"/>
    <s v="Wine"/>
    <n v="185444"/>
    <n v="5056750"/>
    <n v="3.67"/>
  </r>
  <r>
    <x v="11"/>
    <x v="1"/>
    <x v="4"/>
    <s v="Wine"/>
    <n v="15325"/>
    <n v="615077"/>
    <n v="2.4900000000000002"/>
  </r>
  <r>
    <x v="15"/>
    <x v="1"/>
    <x v="4"/>
    <s v="Wine"/>
    <n v="147592"/>
    <n v="3509161"/>
    <n v="4.21"/>
  </r>
  <r>
    <x v="12"/>
    <x v="1"/>
    <x v="4"/>
    <s v="Wine"/>
    <n v="579693"/>
    <n v="22899863"/>
    <n v="2.5299999999999998"/>
  </r>
  <r>
    <x v="13"/>
    <x v="1"/>
    <x v="4"/>
    <s v="Wine"/>
    <n v="309908"/>
    <n v="7056421"/>
    <n v="4.3899999999999997"/>
  </r>
  <r>
    <x v="14"/>
    <x v="1"/>
    <x v="4"/>
    <s v="Wine"/>
    <n v="159075"/>
    <n v="4829270"/>
    <n v="3.29"/>
  </r>
  <r>
    <x v="0"/>
    <x v="1"/>
    <x v="4"/>
    <s v="Beer"/>
    <n v="66201"/>
    <n v="590760"/>
    <n v="11.21"/>
  </r>
  <r>
    <x v="1"/>
    <x v="1"/>
    <x v="4"/>
    <s v="Beer"/>
    <n v="187597"/>
    <n v="2465297"/>
    <n v="7.61"/>
  </r>
  <r>
    <x v="2"/>
    <x v="1"/>
    <x v="4"/>
    <s v="Beer"/>
    <n v="512621"/>
    <n v="4715895"/>
    <n v="10.87"/>
  </r>
  <r>
    <x v="3"/>
    <x v="1"/>
    <x v="4"/>
    <s v="Beer"/>
    <n v="238154"/>
    <n v="3019150"/>
    <n v="7.89"/>
  </r>
  <r>
    <x v="4"/>
    <x v="1"/>
    <x v="4"/>
    <s v="Beer"/>
    <n v="1719218"/>
    <n v="17980787"/>
    <n v="9.56"/>
  </r>
  <r>
    <x v="5"/>
    <x v="1"/>
    <x v="4"/>
    <s v="Beer"/>
    <n v="1218440"/>
    <n v="10533371"/>
    <n v="11.57"/>
  </r>
  <r>
    <x v="6"/>
    <x v="1"/>
    <x v="4"/>
    <s v="Beer"/>
    <n v="190342"/>
    <n v="2364319"/>
    <n v="8.0500000000000007"/>
  </r>
  <r>
    <x v="7"/>
    <x v="1"/>
    <x v="4"/>
    <s v="Beer"/>
    <n v="273489"/>
    <n v="3681254"/>
    <n v="7.43"/>
  </r>
  <r>
    <x v="9"/>
    <x v="1"/>
    <x v="4"/>
    <s v="Beer"/>
    <n v="539107"/>
    <n v="5844357"/>
    <n v="9.2200000000000006"/>
  </r>
  <r>
    <x v="10"/>
    <x v="1"/>
    <x v="4"/>
    <s v="Beer"/>
    <n v="510829"/>
    <n v="5056750"/>
    <n v="10.1"/>
  </r>
  <r>
    <x v="11"/>
    <x v="1"/>
    <x v="4"/>
    <s v="Beer"/>
    <n v="90124"/>
    <n v="615077"/>
    <n v="14.65"/>
  </r>
  <r>
    <x v="15"/>
    <x v="1"/>
    <x v="4"/>
    <s v="Beer"/>
    <n v="374295"/>
    <n v="3509161"/>
    <n v="10.67"/>
  </r>
  <r>
    <x v="12"/>
    <x v="1"/>
    <x v="4"/>
    <s v="Beer"/>
    <n v="2228984"/>
    <n v="22899863"/>
    <n v="9.73"/>
  </r>
  <r>
    <x v="13"/>
    <x v="1"/>
    <x v="4"/>
    <s v="Beer"/>
    <n v="671952"/>
    <n v="7056421"/>
    <n v="9.52"/>
  </r>
  <r>
    <x v="0"/>
    <x v="1"/>
    <x v="5"/>
    <s v="Spirits"/>
    <n v="73290"/>
    <n v="590760"/>
    <n v="12.41"/>
  </r>
  <r>
    <x v="1"/>
    <x v="1"/>
    <x v="5"/>
    <s v="Spirits"/>
    <n v="146683"/>
    <n v="2465297"/>
    <n v="5.95"/>
  </r>
  <r>
    <x v="2"/>
    <x v="1"/>
    <x v="5"/>
    <s v="Spirits"/>
    <n v="593124"/>
    <n v="4715895"/>
    <n v="12.58"/>
  </r>
  <r>
    <x v="3"/>
    <x v="1"/>
    <x v="5"/>
    <s v="Spirits"/>
    <n v="298380"/>
    <n v="3019150"/>
    <n v="9.8800000000000008"/>
  </r>
  <r>
    <x v="4"/>
    <x v="1"/>
    <x v="5"/>
    <s v="Spirits"/>
    <n v="1872797"/>
    <n v="17980787"/>
    <n v="10.42"/>
  </r>
  <r>
    <x v="5"/>
    <x v="1"/>
    <x v="5"/>
    <s v="Spirits"/>
    <n v="945653"/>
    <n v="10533371"/>
    <n v="8.98"/>
  </r>
  <r>
    <x v="6"/>
    <x v="1"/>
    <x v="5"/>
    <s v="Spirits"/>
    <n v="168734"/>
    <n v="2364319"/>
    <n v="7.14"/>
  </r>
  <r>
    <x v="7"/>
    <x v="1"/>
    <x v="5"/>
    <s v="Spirits"/>
    <n v="275082"/>
    <n v="3681254"/>
    <n v="7.47"/>
  </r>
  <r>
    <x v="8"/>
    <x v="1"/>
    <x v="5"/>
    <s v="Spirits"/>
    <n v="335988"/>
    <n v="3803169"/>
    <n v="8.83"/>
  </r>
  <r>
    <x v="9"/>
    <x v="1"/>
    <x v="5"/>
    <s v="Spirits"/>
    <n v="775356"/>
    <n v="5844357"/>
    <n v="13.27"/>
  </r>
  <r>
    <x v="10"/>
    <x v="1"/>
    <x v="5"/>
    <s v="Spirits"/>
    <n v="454407"/>
    <n v="5056750"/>
    <n v="8.99"/>
  </r>
  <r>
    <x v="11"/>
    <x v="1"/>
    <x v="5"/>
    <s v="Spirits"/>
    <n v="81424"/>
    <n v="615077"/>
    <n v="13.24"/>
  </r>
  <r>
    <x v="12"/>
    <x v="1"/>
    <x v="5"/>
    <s v="Spirits"/>
    <n v="1409959"/>
    <n v="22899863"/>
    <n v="6.16"/>
  </r>
  <r>
    <x v="13"/>
    <x v="1"/>
    <x v="5"/>
    <s v="Spirits"/>
    <n v="411138"/>
    <n v="7056421"/>
    <n v="5.83"/>
  </r>
  <r>
    <x v="14"/>
    <x v="1"/>
    <x v="5"/>
    <s v="Spirits"/>
    <n v="556155"/>
    <n v="4829270"/>
    <n v="11.52"/>
  </r>
  <r>
    <x v="0"/>
    <x v="1"/>
    <x v="5"/>
    <s v="Wine"/>
    <n v="30818"/>
    <n v="590760"/>
    <n v="5.22"/>
  </r>
  <r>
    <x v="1"/>
    <x v="1"/>
    <x v="5"/>
    <s v="Wine"/>
    <n v="49811"/>
    <n v="2465297"/>
    <n v="2.02"/>
  </r>
  <r>
    <x v="2"/>
    <x v="1"/>
    <x v="5"/>
    <s v="Wine"/>
    <n v="212610"/>
    <n v="4715895"/>
    <n v="4.51"/>
  </r>
  <r>
    <x v="3"/>
    <x v="1"/>
    <x v="5"/>
    <s v="Wine"/>
    <n v="158062"/>
    <n v="3019150"/>
    <n v="5.24"/>
  </r>
  <r>
    <x v="4"/>
    <x v="1"/>
    <x v="5"/>
    <s v="Wine"/>
    <n v="682137"/>
    <n v="17980787"/>
    <n v="3.79"/>
  </r>
  <r>
    <x v="5"/>
    <x v="1"/>
    <x v="5"/>
    <s v="Wine"/>
    <n v="427060"/>
    <n v="10533371"/>
    <n v="4.05"/>
  </r>
  <r>
    <x v="7"/>
    <x v="1"/>
    <x v="5"/>
    <s v="Wine"/>
    <n v="76669"/>
    <n v="3681254"/>
    <n v="2.08"/>
  </r>
  <r>
    <x v="8"/>
    <x v="1"/>
    <x v="5"/>
    <s v="Wine"/>
    <n v="99802"/>
    <n v="3803169"/>
    <n v="2.62"/>
  </r>
  <r>
    <x v="9"/>
    <x v="1"/>
    <x v="5"/>
    <s v="Wine"/>
    <n v="411362"/>
    <n v="5844357"/>
    <n v="7.04"/>
  </r>
  <r>
    <x v="10"/>
    <x v="1"/>
    <x v="5"/>
    <s v="Wine"/>
    <n v="158957"/>
    <n v="5056750"/>
    <n v="3.14"/>
  </r>
  <r>
    <x v="11"/>
    <x v="1"/>
    <x v="5"/>
    <s v="Wine"/>
    <n v="14930"/>
    <n v="615077"/>
    <n v="2.4300000000000002"/>
  </r>
  <r>
    <x v="15"/>
    <x v="1"/>
    <x v="5"/>
    <s v="Wine"/>
    <n v="158248"/>
    <n v="3509161"/>
    <n v="4.51"/>
  </r>
  <r>
    <x v="12"/>
    <x v="1"/>
    <x v="5"/>
    <s v="Wine"/>
    <n v="679261"/>
    <n v="22899863"/>
    <n v="2.97"/>
  </r>
  <r>
    <x v="13"/>
    <x v="1"/>
    <x v="5"/>
    <s v="Wine"/>
    <n v="285127"/>
    <n v="7056421"/>
    <n v="4.04"/>
  </r>
  <r>
    <x v="14"/>
    <x v="1"/>
    <x v="5"/>
    <s v="Wine"/>
    <n v="174132"/>
    <n v="4829270"/>
    <n v="3.61"/>
  </r>
  <r>
    <x v="0"/>
    <x v="1"/>
    <x v="5"/>
    <s v="Beer"/>
    <n v="68876"/>
    <n v="590760"/>
    <n v="11.66"/>
  </r>
  <r>
    <x v="1"/>
    <x v="1"/>
    <x v="5"/>
    <s v="Beer"/>
    <n v="196146"/>
    <n v="2465297"/>
    <n v="7.96"/>
  </r>
  <r>
    <x v="2"/>
    <x v="1"/>
    <x v="5"/>
    <s v="Beer"/>
    <n v="546352"/>
    <n v="4715895"/>
    <n v="11.59"/>
  </r>
  <r>
    <x v="3"/>
    <x v="1"/>
    <x v="5"/>
    <s v="Beer"/>
    <n v="248665"/>
    <n v="3019150"/>
    <n v="8.24"/>
  </r>
  <r>
    <x v="4"/>
    <x v="1"/>
    <x v="5"/>
    <s v="Beer"/>
    <n v="1633520"/>
    <n v="17980787"/>
    <n v="9.08"/>
  </r>
  <r>
    <x v="5"/>
    <x v="1"/>
    <x v="5"/>
    <s v="Beer"/>
    <n v="1139716"/>
    <n v="10533371"/>
    <n v="10.82"/>
  </r>
  <r>
    <x v="6"/>
    <x v="1"/>
    <x v="5"/>
    <s v="Beer"/>
    <n v="226461"/>
    <n v="2364319"/>
    <n v="9.58"/>
  </r>
  <r>
    <x v="7"/>
    <x v="1"/>
    <x v="5"/>
    <s v="Beer"/>
    <n v="301800"/>
    <n v="3681254"/>
    <n v="8.1999999999999993"/>
  </r>
  <r>
    <x v="9"/>
    <x v="1"/>
    <x v="5"/>
    <s v="Beer"/>
    <n v="517534"/>
    <n v="5844357"/>
    <n v="8.86"/>
  </r>
  <r>
    <x v="10"/>
    <x v="1"/>
    <x v="5"/>
    <s v="Beer"/>
    <n v="558323"/>
    <n v="5056750"/>
    <n v="11.04"/>
  </r>
  <r>
    <x v="11"/>
    <x v="1"/>
    <x v="5"/>
    <s v="Beer"/>
    <n v="111698"/>
    <n v="615077"/>
    <n v="18.16"/>
  </r>
  <r>
    <x v="15"/>
    <x v="1"/>
    <x v="5"/>
    <s v="Beer"/>
    <n v="398961"/>
    <n v="3509161"/>
    <n v="11.37"/>
  </r>
  <r>
    <x v="12"/>
    <x v="1"/>
    <x v="5"/>
    <s v="Beer"/>
    <n v="2843558"/>
    <n v="22899863"/>
    <n v="12.42"/>
  </r>
  <r>
    <x v="13"/>
    <x v="1"/>
    <x v="5"/>
    <s v="Beer"/>
    <n v="631407"/>
    <n v="7056421"/>
    <n v="8.9499999999999993"/>
  </r>
  <r>
    <x v="0"/>
    <x v="1"/>
    <x v="6"/>
    <s v="Spirits"/>
    <n v="72932"/>
    <n v="590760"/>
    <n v="12.35"/>
  </r>
  <r>
    <x v="1"/>
    <x v="1"/>
    <x v="6"/>
    <s v="Spirits"/>
    <n v="131967"/>
    <n v="2465297"/>
    <n v="5.35"/>
  </r>
  <r>
    <x v="2"/>
    <x v="1"/>
    <x v="6"/>
    <s v="Spirits"/>
    <n v="444594"/>
    <n v="4715895"/>
    <n v="9.43"/>
  </r>
  <r>
    <x v="3"/>
    <x v="1"/>
    <x v="6"/>
    <s v="Spirits"/>
    <n v="263800"/>
    <n v="3019150"/>
    <n v="8.74"/>
  </r>
  <r>
    <x v="4"/>
    <x v="1"/>
    <x v="6"/>
    <s v="Spirits"/>
    <n v="1225551"/>
    <n v="17980787"/>
    <n v="6.82"/>
  </r>
  <r>
    <x v="5"/>
    <x v="1"/>
    <x v="6"/>
    <s v="Spirits"/>
    <n v="634204"/>
    <n v="10533371"/>
    <n v="6.02"/>
  </r>
  <r>
    <x v="6"/>
    <x v="1"/>
    <x v="6"/>
    <s v="Spirits"/>
    <n v="179989"/>
    <n v="2364319"/>
    <n v="7.61"/>
  </r>
  <r>
    <x v="7"/>
    <x v="1"/>
    <x v="6"/>
    <s v="Spirits"/>
    <n v="299499"/>
    <n v="3681254"/>
    <n v="8.14"/>
  </r>
  <r>
    <x v="8"/>
    <x v="1"/>
    <x v="6"/>
    <s v="Spirits"/>
    <n v="294178"/>
    <n v="3803169"/>
    <n v="7.74"/>
  </r>
  <r>
    <x v="9"/>
    <x v="1"/>
    <x v="6"/>
    <s v="Spirits"/>
    <n v="367680"/>
    <n v="5844357"/>
    <n v="6.29"/>
  </r>
  <r>
    <x v="10"/>
    <x v="1"/>
    <x v="6"/>
    <s v="Spirits"/>
    <n v="383758"/>
    <n v="5056750"/>
    <n v="7.59"/>
  </r>
  <r>
    <x v="11"/>
    <x v="1"/>
    <x v="6"/>
    <s v="Spirits"/>
    <n v="65932"/>
    <n v="615077"/>
    <n v="10.72"/>
  </r>
  <r>
    <x v="12"/>
    <x v="1"/>
    <x v="6"/>
    <s v="Spirits"/>
    <n v="1317201"/>
    <n v="22899863"/>
    <n v="5.75"/>
  </r>
  <r>
    <x v="13"/>
    <x v="1"/>
    <x v="6"/>
    <s v="Spirits"/>
    <n v="396904"/>
    <n v="7056421"/>
    <n v="5.62"/>
  </r>
  <r>
    <x v="14"/>
    <x v="1"/>
    <x v="6"/>
    <s v="Spirits"/>
    <n v="505476"/>
    <n v="4829270"/>
    <n v="10.47"/>
  </r>
  <r>
    <x v="0"/>
    <x v="1"/>
    <x v="6"/>
    <s v="Wine"/>
    <n v="28536"/>
    <n v="590760"/>
    <n v="4.83"/>
  </r>
  <r>
    <x v="1"/>
    <x v="1"/>
    <x v="6"/>
    <s v="Wine"/>
    <n v="52807"/>
    <n v="2465297"/>
    <n v="2.14"/>
  </r>
  <r>
    <x v="2"/>
    <x v="1"/>
    <x v="6"/>
    <s v="Wine"/>
    <n v="187976"/>
    <n v="4715895"/>
    <n v="3.99"/>
  </r>
  <r>
    <x v="3"/>
    <x v="1"/>
    <x v="6"/>
    <s v="Wine"/>
    <n v="147097"/>
    <n v="3019150"/>
    <n v="4.87"/>
  </r>
  <r>
    <x v="4"/>
    <x v="1"/>
    <x v="6"/>
    <s v="Wine"/>
    <n v="657749"/>
    <n v="17980787"/>
    <n v="3.66"/>
  </r>
  <r>
    <x v="5"/>
    <x v="1"/>
    <x v="6"/>
    <s v="Wine"/>
    <n v="359585"/>
    <n v="10533371"/>
    <n v="3.41"/>
  </r>
  <r>
    <x v="7"/>
    <x v="1"/>
    <x v="6"/>
    <s v="Wine"/>
    <n v="65539"/>
    <n v="3681254"/>
    <n v="1.78"/>
  </r>
  <r>
    <x v="8"/>
    <x v="1"/>
    <x v="6"/>
    <s v="Wine"/>
    <n v="96918"/>
    <n v="3803169"/>
    <n v="2.5499999999999998"/>
  </r>
  <r>
    <x v="9"/>
    <x v="1"/>
    <x v="6"/>
    <s v="Wine"/>
    <n v="240917"/>
    <n v="5844357"/>
    <n v="4.12"/>
  </r>
  <r>
    <x v="10"/>
    <x v="1"/>
    <x v="6"/>
    <s v="Wine"/>
    <n v="127233"/>
    <n v="5056750"/>
    <n v="2.52"/>
  </r>
  <r>
    <x v="11"/>
    <x v="1"/>
    <x v="6"/>
    <s v="Wine"/>
    <n v="15568"/>
    <n v="615077"/>
    <n v="2.5299999999999998"/>
  </r>
  <r>
    <x v="15"/>
    <x v="1"/>
    <x v="6"/>
    <s v="Wine"/>
    <n v="189248"/>
    <n v="3509161"/>
    <n v="5.39"/>
  </r>
  <r>
    <x v="12"/>
    <x v="1"/>
    <x v="6"/>
    <s v="Wine"/>
    <n v="645022"/>
    <n v="22899863"/>
    <n v="2.82"/>
  </r>
  <r>
    <x v="13"/>
    <x v="1"/>
    <x v="6"/>
    <s v="Wine"/>
    <n v="278113"/>
    <n v="7056421"/>
    <n v="3.94"/>
  </r>
  <r>
    <x v="14"/>
    <x v="1"/>
    <x v="6"/>
    <s v="Wine"/>
    <n v="159988"/>
    <n v="4829270"/>
    <n v="3.31"/>
  </r>
  <r>
    <x v="0"/>
    <x v="1"/>
    <x v="6"/>
    <s v="Beer"/>
    <n v="70397"/>
    <n v="590760"/>
    <n v="11.92"/>
  </r>
  <r>
    <x v="1"/>
    <x v="1"/>
    <x v="6"/>
    <s v="Beer"/>
    <n v="202915"/>
    <n v="2465297"/>
    <n v="8.23"/>
  </r>
  <r>
    <x v="2"/>
    <x v="1"/>
    <x v="6"/>
    <s v="Beer"/>
    <n v="508523"/>
    <n v="4715895"/>
    <n v="10.78"/>
  </r>
  <r>
    <x v="3"/>
    <x v="1"/>
    <x v="6"/>
    <s v="Beer"/>
    <n v="231096"/>
    <n v="3019150"/>
    <n v="7.65"/>
  </r>
  <r>
    <x v="4"/>
    <x v="1"/>
    <x v="6"/>
    <s v="Beer"/>
    <n v="1513410"/>
    <n v="17980787"/>
    <n v="8.42"/>
  </r>
  <r>
    <x v="5"/>
    <x v="1"/>
    <x v="6"/>
    <s v="Beer"/>
    <n v="1030855"/>
    <n v="10533371"/>
    <n v="9.7899999999999991"/>
  </r>
  <r>
    <x v="6"/>
    <x v="1"/>
    <x v="6"/>
    <s v="Beer"/>
    <n v="245223"/>
    <n v="2364319"/>
    <n v="10.37"/>
  </r>
  <r>
    <x v="7"/>
    <x v="1"/>
    <x v="6"/>
    <s v="Beer"/>
    <n v="322188"/>
    <n v="3681254"/>
    <n v="8.75"/>
  </r>
  <r>
    <x v="9"/>
    <x v="1"/>
    <x v="6"/>
    <s v="Beer"/>
    <n v="510276"/>
    <n v="5844357"/>
    <n v="8.73"/>
  </r>
  <r>
    <x v="10"/>
    <x v="1"/>
    <x v="6"/>
    <s v="Beer"/>
    <n v="529865"/>
    <n v="5056750"/>
    <n v="10.48"/>
  </r>
  <r>
    <x v="11"/>
    <x v="1"/>
    <x v="6"/>
    <s v="Beer"/>
    <n v="86265"/>
    <n v="615077"/>
    <n v="14.03"/>
  </r>
  <r>
    <x v="15"/>
    <x v="1"/>
    <x v="6"/>
    <s v="Beer"/>
    <n v="475655"/>
    <n v="3509161"/>
    <n v="13.55"/>
  </r>
  <r>
    <x v="12"/>
    <x v="1"/>
    <x v="6"/>
    <s v="Beer"/>
    <n v="2574407"/>
    <n v="22899863"/>
    <n v="11.24"/>
  </r>
  <r>
    <x v="13"/>
    <x v="1"/>
    <x v="6"/>
    <s v="Beer"/>
    <n v="596582"/>
    <n v="7056421"/>
    <n v="8.4499999999999993"/>
  </r>
  <r>
    <x v="0"/>
    <x v="1"/>
    <x v="7"/>
    <s v="Spirits"/>
    <n v="73554"/>
    <n v="590760"/>
    <n v="12.45"/>
  </r>
  <r>
    <x v="1"/>
    <x v="1"/>
    <x v="7"/>
    <s v="Spirits"/>
    <n v="103846"/>
    <n v="2465297"/>
    <n v="4.21"/>
  </r>
  <r>
    <x v="2"/>
    <x v="1"/>
    <x v="7"/>
    <s v="Spirits"/>
    <n v="520124"/>
    <n v="4715895"/>
    <n v="11.03"/>
  </r>
  <r>
    <x v="3"/>
    <x v="1"/>
    <x v="7"/>
    <s v="Spirits"/>
    <n v="226343"/>
    <n v="3019150"/>
    <n v="7.5"/>
  </r>
  <r>
    <x v="4"/>
    <x v="1"/>
    <x v="7"/>
    <s v="Spirits"/>
    <n v="1396521"/>
    <n v="17980787"/>
    <n v="7.77"/>
  </r>
  <r>
    <x v="5"/>
    <x v="1"/>
    <x v="7"/>
    <s v="Spirits"/>
    <n v="761748"/>
    <n v="10533371"/>
    <n v="7.23"/>
  </r>
  <r>
    <x v="6"/>
    <x v="1"/>
    <x v="7"/>
    <s v="Spirits"/>
    <n v="136382"/>
    <n v="2364319"/>
    <n v="5.77"/>
  </r>
  <r>
    <x v="7"/>
    <x v="1"/>
    <x v="7"/>
    <s v="Spirits"/>
    <n v="216625"/>
    <n v="3681254"/>
    <n v="5.88"/>
  </r>
  <r>
    <x v="8"/>
    <x v="1"/>
    <x v="7"/>
    <s v="Spirits"/>
    <n v="317019"/>
    <n v="3803169"/>
    <n v="8.34"/>
  </r>
  <r>
    <x v="9"/>
    <x v="1"/>
    <x v="7"/>
    <s v="Spirits"/>
    <n v="449660"/>
    <n v="5844357"/>
    <n v="7.69"/>
  </r>
  <r>
    <x v="10"/>
    <x v="1"/>
    <x v="7"/>
    <s v="Spirits"/>
    <n v="477761"/>
    <n v="5056750"/>
    <n v="9.4499999999999993"/>
  </r>
  <r>
    <x v="11"/>
    <x v="1"/>
    <x v="7"/>
    <s v="Spirits"/>
    <n v="70299"/>
    <n v="615077"/>
    <n v="11.43"/>
  </r>
  <r>
    <x v="12"/>
    <x v="1"/>
    <x v="7"/>
    <s v="Spirits"/>
    <n v="1399548"/>
    <n v="22899863"/>
    <n v="6.11"/>
  </r>
  <r>
    <x v="13"/>
    <x v="1"/>
    <x v="7"/>
    <s v="Spirits"/>
    <n v="413930"/>
    <n v="7056421"/>
    <n v="5.87"/>
  </r>
  <r>
    <x v="14"/>
    <x v="1"/>
    <x v="7"/>
    <s v="Spirits"/>
    <n v="565035"/>
    <n v="4829270"/>
    <n v="11.7"/>
  </r>
  <r>
    <x v="0"/>
    <x v="1"/>
    <x v="7"/>
    <s v="Wine"/>
    <n v="33011"/>
    <n v="590760"/>
    <n v="5.59"/>
  </r>
  <r>
    <x v="1"/>
    <x v="1"/>
    <x v="7"/>
    <s v="Wine"/>
    <n v="38313"/>
    <n v="2465297"/>
    <n v="1.55"/>
  </r>
  <r>
    <x v="2"/>
    <x v="1"/>
    <x v="7"/>
    <s v="Wine"/>
    <n v="234915"/>
    <n v="4715895"/>
    <n v="4.9800000000000004"/>
  </r>
  <r>
    <x v="3"/>
    <x v="1"/>
    <x v="7"/>
    <s v="Wine"/>
    <n v="136854"/>
    <n v="3019150"/>
    <n v="4.53"/>
  </r>
  <r>
    <x v="4"/>
    <x v="1"/>
    <x v="7"/>
    <s v="Wine"/>
    <n v="747160"/>
    <n v="17980787"/>
    <n v="4.16"/>
  </r>
  <r>
    <x v="5"/>
    <x v="1"/>
    <x v="7"/>
    <s v="Wine"/>
    <n v="420716"/>
    <n v="10533371"/>
    <n v="3.99"/>
  </r>
  <r>
    <x v="7"/>
    <x v="1"/>
    <x v="7"/>
    <s v="Wine"/>
    <n v="57382"/>
    <n v="3681254"/>
    <n v="1.56"/>
  </r>
  <r>
    <x v="8"/>
    <x v="1"/>
    <x v="7"/>
    <s v="Wine"/>
    <n v="110062"/>
    <n v="3803169"/>
    <n v="2.89"/>
  </r>
  <r>
    <x v="9"/>
    <x v="1"/>
    <x v="7"/>
    <s v="Wine"/>
    <n v="307647"/>
    <n v="5844357"/>
    <n v="5.26"/>
  </r>
  <r>
    <x v="10"/>
    <x v="1"/>
    <x v="7"/>
    <s v="Wine"/>
    <n v="181100"/>
    <n v="5056750"/>
    <n v="3.58"/>
  </r>
  <r>
    <x v="11"/>
    <x v="1"/>
    <x v="7"/>
    <s v="Wine"/>
    <n v="15005"/>
    <n v="615077"/>
    <n v="2.44"/>
  </r>
  <r>
    <x v="15"/>
    <x v="1"/>
    <x v="7"/>
    <s v="Wine"/>
    <n v="165248"/>
    <n v="3509161"/>
    <n v="4.71"/>
  </r>
  <r>
    <x v="12"/>
    <x v="1"/>
    <x v="7"/>
    <s v="Wine"/>
    <n v="623198"/>
    <n v="22899863"/>
    <n v="2.72"/>
  </r>
  <r>
    <x v="13"/>
    <x v="1"/>
    <x v="7"/>
    <s v="Wine"/>
    <n v="307335"/>
    <n v="7056421"/>
    <n v="4.3600000000000003"/>
  </r>
  <r>
    <x v="14"/>
    <x v="1"/>
    <x v="7"/>
    <s v="Wine"/>
    <n v="152020"/>
    <n v="4829270"/>
    <n v="3.15"/>
  </r>
  <r>
    <x v="0"/>
    <x v="1"/>
    <x v="7"/>
    <s v="Beer"/>
    <n v="71110"/>
    <n v="590760"/>
    <n v="12.04"/>
  </r>
  <r>
    <x v="1"/>
    <x v="1"/>
    <x v="7"/>
    <s v="Beer"/>
    <n v="224585"/>
    <n v="2465297"/>
    <n v="9.11"/>
  </r>
  <r>
    <x v="2"/>
    <x v="1"/>
    <x v="7"/>
    <s v="Beer"/>
    <n v="558900"/>
    <n v="4715895"/>
    <n v="11.85"/>
  </r>
  <r>
    <x v="3"/>
    <x v="1"/>
    <x v="7"/>
    <s v="Beer"/>
    <n v="251881"/>
    <n v="3019150"/>
    <n v="8.34"/>
  </r>
  <r>
    <x v="4"/>
    <x v="1"/>
    <x v="7"/>
    <s v="Beer"/>
    <n v="1714860"/>
    <n v="17980787"/>
    <n v="9.5399999999999991"/>
  </r>
  <r>
    <x v="5"/>
    <x v="1"/>
    <x v="7"/>
    <s v="Beer"/>
    <n v="1211993"/>
    <n v="10533371"/>
    <n v="11.51"/>
  </r>
  <r>
    <x v="6"/>
    <x v="1"/>
    <x v="7"/>
    <s v="Beer"/>
    <n v="229238"/>
    <n v="2364319"/>
    <n v="9.6999999999999993"/>
  </r>
  <r>
    <x v="7"/>
    <x v="1"/>
    <x v="7"/>
    <s v="Beer"/>
    <n v="309184"/>
    <n v="3681254"/>
    <n v="8.4"/>
  </r>
  <r>
    <x v="9"/>
    <x v="1"/>
    <x v="7"/>
    <s v="Beer"/>
    <n v="564273"/>
    <n v="5844357"/>
    <n v="9.66"/>
  </r>
  <r>
    <x v="10"/>
    <x v="1"/>
    <x v="7"/>
    <s v="Beer"/>
    <n v="535268"/>
    <n v="5056750"/>
    <n v="10.59"/>
  </r>
  <r>
    <x v="11"/>
    <x v="1"/>
    <x v="7"/>
    <s v="Beer"/>
    <n v="79867"/>
    <n v="615077"/>
    <n v="12.98"/>
  </r>
  <r>
    <x v="15"/>
    <x v="1"/>
    <x v="7"/>
    <s v="Beer"/>
    <n v="434370"/>
    <n v="3509161"/>
    <n v="12.38"/>
  </r>
  <r>
    <x v="12"/>
    <x v="1"/>
    <x v="7"/>
    <s v="Beer"/>
    <n v="2417560"/>
    <n v="22899863"/>
    <n v="10.56"/>
  </r>
  <r>
    <x v="13"/>
    <x v="1"/>
    <x v="7"/>
    <s v="Beer"/>
    <n v="660295"/>
    <n v="7056421"/>
    <n v="9.36"/>
  </r>
  <r>
    <x v="0"/>
    <x v="1"/>
    <x v="8"/>
    <s v="Spirits"/>
    <n v="55841"/>
    <n v="590760"/>
    <n v="9.4499999999999993"/>
  </r>
  <r>
    <x v="1"/>
    <x v="1"/>
    <x v="8"/>
    <s v="Spirits"/>
    <n v="142126"/>
    <n v="2465297"/>
    <n v="5.77"/>
  </r>
  <r>
    <x v="2"/>
    <x v="1"/>
    <x v="8"/>
    <s v="Spirits"/>
    <n v="431343"/>
    <n v="4715895"/>
    <n v="9.15"/>
  </r>
  <r>
    <x v="3"/>
    <x v="1"/>
    <x v="8"/>
    <s v="Spirits"/>
    <n v="220342"/>
    <n v="3019150"/>
    <n v="7.3"/>
  </r>
  <r>
    <x v="4"/>
    <x v="1"/>
    <x v="8"/>
    <s v="Spirits"/>
    <n v="1227648"/>
    <n v="17980787"/>
    <n v="6.83"/>
  </r>
  <r>
    <x v="5"/>
    <x v="1"/>
    <x v="8"/>
    <s v="Spirits"/>
    <n v="638557"/>
    <n v="10533371"/>
    <n v="6.06"/>
  </r>
  <r>
    <x v="6"/>
    <x v="1"/>
    <x v="8"/>
    <s v="Spirits"/>
    <n v="156393"/>
    <n v="2364319"/>
    <n v="6.61"/>
  </r>
  <r>
    <x v="7"/>
    <x v="1"/>
    <x v="8"/>
    <s v="Spirits"/>
    <n v="268281"/>
    <n v="3681254"/>
    <n v="7.29"/>
  </r>
  <r>
    <x v="8"/>
    <x v="1"/>
    <x v="8"/>
    <s v="Spirits"/>
    <n v="262165"/>
    <n v="3803169"/>
    <n v="6.89"/>
  </r>
  <r>
    <x v="9"/>
    <x v="1"/>
    <x v="8"/>
    <s v="Spirits"/>
    <n v="491021"/>
    <n v="5844357"/>
    <n v="8.4"/>
  </r>
  <r>
    <x v="10"/>
    <x v="1"/>
    <x v="8"/>
    <s v="Spirits"/>
    <n v="457744"/>
    <n v="5056750"/>
    <n v="9.0500000000000007"/>
  </r>
  <r>
    <x v="11"/>
    <x v="1"/>
    <x v="8"/>
    <s v="Spirits"/>
    <n v="61627"/>
    <n v="615077"/>
    <n v="10.02"/>
  </r>
  <r>
    <x v="12"/>
    <x v="1"/>
    <x v="8"/>
    <s v="Spirits"/>
    <n v="1240433"/>
    <n v="22899863"/>
    <n v="5.42"/>
  </r>
  <r>
    <x v="13"/>
    <x v="1"/>
    <x v="8"/>
    <s v="Spirits"/>
    <n v="450377"/>
    <n v="7056421"/>
    <n v="6.38"/>
  </r>
  <r>
    <x v="14"/>
    <x v="1"/>
    <x v="8"/>
    <s v="Spirits"/>
    <n v="565569"/>
    <n v="4829270"/>
    <n v="11.71"/>
  </r>
  <r>
    <x v="0"/>
    <x v="1"/>
    <x v="8"/>
    <s v="Wine"/>
    <n v="24427"/>
    <n v="590760"/>
    <n v="4.13"/>
  </r>
  <r>
    <x v="1"/>
    <x v="1"/>
    <x v="8"/>
    <s v="Wine"/>
    <n v="44833"/>
    <n v="2465297"/>
    <n v="1.82"/>
  </r>
  <r>
    <x v="2"/>
    <x v="1"/>
    <x v="8"/>
    <s v="Wine"/>
    <n v="173930"/>
    <n v="4715895"/>
    <n v="3.69"/>
  </r>
  <r>
    <x v="3"/>
    <x v="1"/>
    <x v="8"/>
    <s v="Wine"/>
    <n v="130861"/>
    <n v="3019150"/>
    <n v="4.33"/>
  </r>
  <r>
    <x v="4"/>
    <x v="1"/>
    <x v="8"/>
    <s v="Wine"/>
    <n v="596902"/>
    <n v="17980787"/>
    <n v="3.32"/>
  </r>
  <r>
    <x v="5"/>
    <x v="1"/>
    <x v="8"/>
    <s v="Wine"/>
    <n v="328185"/>
    <n v="10533371"/>
    <n v="3.12"/>
  </r>
  <r>
    <x v="7"/>
    <x v="1"/>
    <x v="8"/>
    <s v="Wine"/>
    <n v="75624"/>
    <n v="3681254"/>
    <n v="2.0499999999999998"/>
  </r>
  <r>
    <x v="8"/>
    <x v="1"/>
    <x v="8"/>
    <s v="Wine"/>
    <n v="89939"/>
    <n v="3803169"/>
    <n v="2.36"/>
  </r>
  <r>
    <x v="9"/>
    <x v="1"/>
    <x v="8"/>
    <s v="Wine"/>
    <n v="299353"/>
    <n v="5844357"/>
    <n v="5.12"/>
  </r>
  <r>
    <x v="10"/>
    <x v="1"/>
    <x v="8"/>
    <s v="Wine"/>
    <n v="138183"/>
    <n v="5056750"/>
    <n v="2.73"/>
  </r>
  <r>
    <x v="11"/>
    <x v="1"/>
    <x v="8"/>
    <s v="Wine"/>
    <n v="13064"/>
    <n v="615077"/>
    <n v="2.12"/>
  </r>
  <r>
    <x v="15"/>
    <x v="1"/>
    <x v="8"/>
    <s v="Wine"/>
    <n v="218829"/>
    <n v="3509161"/>
    <n v="6.24"/>
  </r>
  <r>
    <x v="12"/>
    <x v="1"/>
    <x v="8"/>
    <s v="Wine"/>
    <n v="670923"/>
    <n v="22899863"/>
    <n v="2.93"/>
  </r>
  <r>
    <x v="13"/>
    <x v="1"/>
    <x v="8"/>
    <s v="Wine"/>
    <n v="251071"/>
    <n v="7056421"/>
    <n v="3.56"/>
  </r>
  <r>
    <x v="14"/>
    <x v="1"/>
    <x v="8"/>
    <s v="Wine"/>
    <n v="157134"/>
    <n v="4829270"/>
    <n v="3.25"/>
  </r>
  <r>
    <x v="0"/>
    <x v="1"/>
    <x v="8"/>
    <s v="Beer"/>
    <n v="48957"/>
    <n v="590760"/>
    <n v="8.2899999999999991"/>
  </r>
  <r>
    <x v="1"/>
    <x v="1"/>
    <x v="8"/>
    <s v="Beer"/>
    <n v="215285"/>
    <n v="2465297"/>
    <n v="8.73"/>
  </r>
  <r>
    <x v="2"/>
    <x v="1"/>
    <x v="8"/>
    <s v="Beer"/>
    <n v="445498"/>
    <n v="4715895"/>
    <n v="9.4499999999999993"/>
  </r>
  <r>
    <x v="3"/>
    <x v="1"/>
    <x v="8"/>
    <s v="Beer"/>
    <n v="191612"/>
    <n v="3019150"/>
    <n v="6.35"/>
  </r>
  <r>
    <x v="4"/>
    <x v="1"/>
    <x v="8"/>
    <s v="Beer"/>
    <n v="1356526"/>
    <n v="17980787"/>
    <n v="7.54"/>
  </r>
  <r>
    <x v="5"/>
    <x v="1"/>
    <x v="8"/>
    <s v="Beer"/>
    <n v="898731"/>
    <n v="10533371"/>
    <n v="8.5299999999999994"/>
  </r>
  <r>
    <x v="6"/>
    <x v="1"/>
    <x v="8"/>
    <s v="Beer"/>
    <n v="236687"/>
    <n v="2364319"/>
    <n v="10.01"/>
  </r>
  <r>
    <x v="7"/>
    <x v="1"/>
    <x v="8"/>
    <s v="Beer"/>
    <n v="342696"/>
    <n v="3681254"/>
    <n v="9.31"/>
  </r>
  <r>
    <x v="9"/>
    <x v="1"/>
    <x v="8"/>
    <s v="Beer"/>
    <n v="432541"/>
    <n v="5844357"/>
    <n v="7.4"/>
  </r>
  <r>
    <x v="10"/>
    <x v="1"/>
    <x v="8"/>
    <s v="Beer"/>
    <n v="463452"/>
    <n v="5056750"/>
    <n v="9.17"/>
  </r>
  <r>
    <x v="11"/>
    <x v="1"/>
    <x v="8"/>
    <s v="Beer"/>
    <n v="67776"/>
    <n v="615077"/>
    <n v="11.02"/>
  </r>
  <r>
    <x v="15"/>
    <x v="1"/>
    <x v="8"/>
    <s v="Beer"/>
    <n v="415349"/>
    <n v="3509161"/>
    <n v="11.84"/>
  </r>
  <r>
    <x v="12"/>
    <x v="1"/>
    <x v="8"/>
    <s v="Beer"/>
    <n v="2697851"/>
    <n v="22899863"/>
    <n v="11.78"/>
  </r>
  <r>
    <x v="13"/>
    <x v="1"/>
    <x v="8"/>
    <s v="Beer"/>
    <n v="522887"/>
    <n v="7056421"/>
    <n v="7.41"/>
  </r>
  <r>
    <x v="0"/>
    <x v="1"/>
    <x v="9"/>
    <s v="Spirits"/>
    <n v="62690"/>
    <n v="590760"/>
    <n v="10.61"/>
  </r>
  <r>
    <x v="1"/>
    <x v="1"/>
    <x v="9"/>
    <s v="Spirits"/>
    <n v="122497"/>
    <n v="2465297"/>
    <n v="4.97"/>
  </r>
  <r>
    <x v="2"/>
    <x v="1"/>
    <x v="9"/>
    <s v="Spirits"/>
    <n v="495193"/>
    <n v="4715895"/>
    <n v="10.5"/>
  </r>
  <r>
    <x v="3"/>
    <x v="1"/>
    <x v="9"/>
    <s v="Spirits"/>
    <n v="329823"/>
    <n v="3019150"/>
    <n v="10.92"/>
  </r>
  <r>
    <x v="4"/>
    <x v="1"/>
    <x v="9"/>
    <s v="Spirits"/>
    <n v="1668680"/>
    <n v="17980787"/>
    <n v="9.2799999999999994"/>
  </r>
  <r>
    <x v="5"/>
    <x v="1"/>
    <x v="9"/>
    <s v="Spirits"/>
    <n v="838175"/>
    <n v="10533371"/>
    <n v="7.96"/>
  </r>
  <r>
    <x v="6"/>
    <x v="1"/>
    <x v="9"/>
    <s v="Spirits"/>
    <n v="154929"/>
    <n v="2364319"/>
    <n v="6.55"/>
  </r>
  <r>
    <x v="7"/>
    <x v="1"/>
    <x v="9"/>
    <s v="Spirits"/>
    <n v="236191"/>
    <n v="3681254"/>
    <n v="6.42"/>
  </r>
  <r>
    <x v="8"/>
    <x v="1"/>
    <x v="9"/>
    <s v="Spirits"/>
    <n v="353217"/>
    <n v="3803169"/>
    <n v="9.2899999999999991"/>
  </r>
  <r>
    <x v="9"/>
    <x v="1"/>
    <x v="9"/>
    <s v="Spirits"/>
    <n v="513324"/>
    <n v="5844357"/>
    <n v="8.7799999999999994"/>
  </r>
  <r>
    <x v="10"/>
    <x v="1"/>
    <x v="9"/>
    <s v="Spirits"/>
    <n v="473321"/>
    <n v="5056750"/>
    <n v="9.36"/>
  </r>
  <r>
    <x v="11"/>
    <x v="1"/>
    <x v="9"/>
    <s v="Spirits"/>
    <n v="72506"/>
    <n v="615077"/>
    <n v="11.79"/>
  </r>
  <r>
    <x v="12"/>
    <x v="1"/>
    <x v="9"/>
    <s v="Spirits"/>
    <n v="1170894"/>
    <n v="22899863"/>
    <n v="5.1100000000000003"/>
  </r>
  <r>
    <x v="13"/>
    <x v="1"/>
    <x v="9"/>
    <s v="Spirits"/>
    <n v="397794"/>
    <n v="7056421"/>
    <n v="5.64"/>
  </r>
  <r>
    <x v="14"/>
    <x v="1"/>
    <x v="9"/>
    <s v="Spirits"/>
    <n v="496812"/>
    <n v="4829270"/>
    <n v="10.29"/>
  </r>
  <r>
    <x v="0"/>
    <x v="1"/>
    <x v="9"/>
    <s v="Wine"/>
    <n v="26160"/>
    <n v="590760"/>
    <n v="4.43"/>
  </r>
  <r>
    <x v="1"/>
    <x v="1"/>
    <x v="9"/>
    <s v="Wine"/>
    <n v="45954"/>
    <n v="2465297"/>
    <n v="1.86"/>
  </r>
  <r>
    <x v="2"/>
    <x v="1"/>
    <x v="9"/>
    <s v="Wine"/>
    <n v="214525"/>
    <n v="4715895"/>
    <n v="4.55"/>
  </r>
  <r>
    <x v="3"/>
    <x v="1"/>
    <x v="9"/>
    <s v="Wine"/>
    <n v="177707"/>
    <n v="3019150"/>
    <n v="5.89"/>
  </r>
  <r>
    <x v="4"/>
    <x v="1"/>
    <x v="9"/>
    <s v="Wine"/>
    <n v="848551"/>
    <n v="17980787"/>
    <n v="4.72"/>
  </r>
  <r>
    <x v="5"/>
    <x v="1"/>
    <x v="9"/>
    <s v="Wine"/>
    <n v="452557"/>
    <n v="10533371"/>
    <n v="4.3"/>
  </r>
  <r>
    <x v="7"/>
    <x v="1"/>
    <x v="9"/>
    <s v="Wine"/>
    <n v="59837"/>
    <n v="3681254"/>
    <n v="1.63"/>
  </r>
  <r>
    <x v="8"/>
    <x v="1"/>
    <x v="9"/>
    <s v="Wine"/>
    <n v="116043"/>
    <n v="3803169"/>
    <n v="3.05"/>
  </r>
  <r>
    <x v="9"/>
    <x v="1"/>
    <x v="9"/>
    <s v="Wine"/>
    <n v="319845"/>
    <n v="5844357"/>
    <n v="5.47"/>
  </r>
  <r>
    <x v="10"/>
    <x v="1"/>
    <x v="9"/>
    <s v="Wine"/>
    <n v="202379"/>
    <n v="5056750"/>
    <n v="4"/>
  </r>
  <r>
    <x v="11"/>
    <x v="1"/>
    <x v="9"/>
    <s v="Wine"/>
    <n v="18955"/>
    <n v="615077"/>
    <n v="3.08"/>
  </r>
  <r>
    <x v="15"/>
    <x v="1"/>
    <x v="9"/>
    <s v="Wine"/>
    <n v="163560"/>
    <n v="3509161"/>
    <n v="4.66"/>
  </r>
  <r>
    <x v="12"/>
    <x v="1"/>
    <x v="9"/>
    <s v="Wine"/>
    <n v="561690"/>
    <n v="22899863"/>
    <n v="2.4500000000000002"/>
  </r>
  <r>
    <x v="13"/>
    <x v="1"/>
    <x v="9"/>
    <s v="Wine"/>
    <n v="302007"/>
    <n v="7056421"/>
    <n v="4.28"/>
  </r>
  <r>
    <x v="14"/>
    <x v="1"/>
    <x v="9"/>
    <s v="Wine"/>
    <n v="142085"/>
    <n v="4829270"/>
    <n v="2.94"/>
  </r>
  <r>
    <x v="0"/>
    <x v="1"/>
    <x v="9"/>
    <s v="Beer"/>
    <n v="48883"/>
    <n v="590760"/>
    <n v="8.27"/>
  </r>
  <r>
    <x v="1"/>
    <x v="1"/>
    <x v="9"/>
    <s v="Beer"/>
    <n v="180185"/>
    <n v="2465297"/>
    <n v="7.31"/>
  </r>
  <r>
    <x v="2"/>
    <x v="1"/>
    <x v="9"/>
    <s v="Beer"/>
    <n v="422793"/>
    <n v="4715895"/>
    <n v="8.9700000000000006"/>
  </r>
  <r>
    <x v="3"/>
    <x v="1"/>
    <x v="9"/>
    <s v="Beer"/>
    <n v="190046"/>
    <n v="3019150"/>
    <n v="6.29"/>
  </r>
  <r>
    <x v="4"/>
    <x v="1"/>
    <x v="9"/>
    <s v="Beer"/>
    <n v="1548321"/>
    <n v="17980787"/>
    <n v="8.61"/>
  </r>
  <r>
    <x v="5"/>
    <x v="1"/>
    <x v="9"/>
    <s v="Beer"/>
    <n v="883372"/>
    <n v="10533371"/>
    <n v="8.39"/>
  </r>
  <r>
    <x v="6"/>
    <x v="1"/>
    <x v="9"/>
    <s v="Beer"/>
    <n v="160259"/>
    <n v="2364319"/>
    <n v="6.78"/>
  </r>
  <r>
    <x v="7"/>
    <x v="1"/>
    <x v="9"/>
    <s v="Beer"/>
    <n v="256409"/>
    <n v="3681254"/>
    <n v="6.97"/>
  </r>
  <r>
    <x v="9"/>
    <x v="1"/>
    <x v="9"/>
    <s v="Beer"/>
    <n v="440929"/>
    <n v="5844357"/>
    <n v="7.54"/>
  </r>
  <r>
    <x v="10"/>
    <x v="1"/>
    <x v="9"/>
    <s v="Beer"/>
    <n v="464291"/>
    <n v="5056750"/>
    <n v="9.18"/>
  </r>
  <r>
    <x v="11"/>
    <x v="1"/>
    <x v="9"/>
    <s v="Beer"/>
    <n v="71795"/>
    <n v="615077"/>
    <n v="11.67"/>
  </r>
  <r>
    <x v="15"/>
    <x v="1"/>
    <x v="9"/>
    <s v="Beer"/>
    <n v="360942"/>
    <n v="3509161"/>
    <n v="10.29"/>
  </r>
  <r>
    <x v="12"/>
    <x v="1"/>
    <x v="9"/>
    <s v="Beer"/>
    <n v="2107030"/>
    <n v="22899863"/>
    <n v="9.1999999999999993"/>
  </r>
  <r>
    <x v="13"/>
    <x v="1"/>
    <x v="9"/>
    <s v="Beer"/>
    <n v="562327"/>
    <n v="7056421"/>
    <n v="7.97"/>
  </r>
  <r>
    <x v="0"/>
    <x v="1"/>
    <x v="10"/>
    <s v="Spirits"/>
    <n v="63745"/>
    <n v="590760"/>
    <n v="10.79"/>
  </r>
  <r>
    <x v="1"/>
    <x v="1"/>
    <x v="10"/>
    <s v="Spirits"/>
    <n v="147314"/>
    <n v="2465297"/>
    <n v="5.98"/>
  </r>
  <r>
    <x v="2"/>
    <x v="1"/>
    <x v="10"/>
    <s v="Spirits"/>
    <n v="513954"/>
    <n v="4715895"/>
    <n v="10.9"/>
  </r>
  <r>
    <x v="3"/>
    <x v="1"/>
    <x v="10"/>
    <s v="Spirits"/>
    <n v="293870"/>
    <n v="3019150"/>
    <n v="9.73"/>
  </r>
  <r>
    <x v="4"/>
    <x v="1"/>
    <x v="10"/>
    <s v="Spirits"/>
    <n v="1672826"/>
    <n v="17980787"/>
    <n v="9.3000000000000007"/>
  </r>
  <r>
    <x v="5"/>
    <x v="1"/>
    <x v="10"/>
    <s v="Spirits"/>
    <n v="795840"/>
    <n v="10533371"/>
    <n v="7.56"/>
  </r>
  <r>
    <x v="6"/>
    <x v="1"/>
    <x v="10"/>
    <s v="Spirits"/>
    <n v="184658"/>
    <n v="2364319"/>
    <n v="7.81"/>
  </r>
  <r>
    <x v="7"/>
    <x v="1"/>
    <x v="10"/>
    <s v="Spirits"/>
    <n v="294548"/>
    <n v="3681254"/>
    <n v="8"/>
  </r>
  <r>
    <x v="8"/>
    <x v="1"/>
    <x v="10"/>
    <s v="Spirits"/>
    <n v="348485"/>
    <n v="3803169"/>
    <n v="9.16"/>
  </r>
  <r>
    <x v="9"/>
    <x v="1"/>
    <x v="10"/>
    <s v="Spirits"/>
    <n v="520530"/>
    <n v="5844357"/>
    <n v="8.91"/>
  </r>
  <r>
    <x v="10"/>
    <x v="1"/>
    <x v="10"/>
    <s v="Spirits"/>
    <n v="493781"/>
    <n v="5056750"/>
    <n v="9.76"/>
  </r>
  <r>
    <x v="11"/>
    <x v="1"/>
    <x v="10"/>
    <s v="Spirits"/>
    <n v="68440"/>
    <n v="615077"/>
    <n v="11.13"/>
  </r>
  <r>
    <x v="12"/>
    <x v="1"/>
    <x v="10"/>
    <s v="Spirits"/>
    <n v="1451523"/>
    <n v="22899863"/>
    <n v="6.34"/>
  </r>
  <r>
    <x v="13"/>
    <x v="1"/>
    <x v="10"/>
    <s v="Spirits"/>
    <n v="450377"/>
    <n v="7056421"/>
    <n v="6.38"/>
  </r>
  <r>
    <x v="14"/>
    <x v="1"/>
    <x v="10"/>
    <s v="Spirits"/>
    <n v="610052"/>
    <n v="4829270"/>
    <n v="12.63"/>
  </r>
  <r>
    <x v="0"/>
    <x v="1"/>
    <x v="10"/>
    <s v="Wine"/>
    <n v="27759"/>
    <n v="590760"/>
    <n v="4.7"/>
  </r>
  <r>
    <x v="1"/>
    <x v="1"/>
    <x v="10"/>
    <s v="Wine"/>
    <n v="46433"/>
    <n v="2465297"/>
    <n v="1.88"/>
  </r>
  <r>
    <x v="2"/>
    <x v="1"/>
    <x v="10"/>
    <s v="Wine"/>
    <n v="233078"/>
    <n v="4715895"/>
    <n v="4.9400000000000004"/>
  </r>
  <r>
    <x v="3"/>
    <x v="1"/>
    <x v="10"/>
    <s v="Wine"/>
    <n v="179438"/>
    <n v="3019150"/>
    <n v="5.94"/>
  </r>
  <r>
    <x v="4"/>
    <x v="1"/>
    <x v="10"/>
    <s v="Wine"/>
    <n v="903332"/>
    <n v="17980787"/>
    <n v="5.0199999999999996"/>
  </r>
  <r>
    <x v="5"/>
    <x v="1"/>
    <x v="10"/>
    <s v="Wine"/>
    <n v="461662"/>
    <n v="10533371"/>
    <n v="4.38"/>
  </r>
  <r>
    <x v="7"/>
    <x v="1"/>
    <x v="10"/>
    <s v="Wine"/>
    <n v="73424"/>
    <n v="3681254"/>
    <n v="1.99"/>
  </r>
  <r>
    <x v="8"/>
    <x v="1"/>
    <x v="10"/>
    <s v="Wine"/>
    <n v="123481"/>
    <n v="3803169"/>
    <n v="3.25"/>
  </r>
  <r>
    <x v="9"/>
    <x v="1"/>
    <x v="10"/>
    <s v="Wine"/>
    <n v="357793"/>
    <n v="5844357"/>
    <n v="6.12"/>
  </r>
  <r>
    <x v="10"/>
    <x v="1"/>
    <x v="10"/>
    <s v="Wine"/>
    <n v="173187"/>
    <n v="5056750"/>
    <n v="3.42"/>
  </r>
  <r>
    <x v="11"/>
    <x v="1"/>
    <x v="10"/>
    <s v="Wine"/>
    <n v="23580"/>
    <n v="615077"/>
    <n v="3.83"/>
  </r>
  <r>
    <x v="15"/>
    <x v="1"/>
    <x v="10"/>
    <s v="Wine"/>
    <n v="176499"/>
    <n v="3509161"/>
    <n v="5.03"/>
  </r>
  <r>
    <x v="12"/>
    <x v="1"/>
    <x v="10"/>
    <s v="Wine"/>
    <n v="686690"/>
    <n v="22899863"/>
    <n v="3"/>
  </r>
  <r>
    <x v="13"/>
    <x v="1"/>
    <x v="10"/>
    <s v="Wine"/>
    <n v="342536"/>
    <n v="7056421"/>
    <n v="4.8499999999999996"/>
  </r>
  <r>
    <x v="14"/>
    <x v="1"/>
    <x v="10"/>
    <s v="Wine"/>
    <n v="183456"/>
    <n v="4829270"/>
    <n v="3.8"/>
  </r>
  <r>
    <x v="0"/>
    <x v="1"/>
    <x v="10"/>
    <s v="Beer"/>
    <n v="43811"/>
    <n v="590760"/>
    <n v="7.42"/>
  </r>
  <r>
    <x v="1"/>
    <x v="1"/>
    <x v="10"/>
    <s v="Beer"/>
    <n v="197120"/>
    <n v="2465297"/>
    <n v="8"/>
  </r>
  <r>
    <x v="2"/>
    <x v="1"/>
    <x v="10"/>
    <s v="Beer"/>
    <n v="417940"/>
    <n v="4715895"/>
    <n v="8.86"/>
  </r>
  <r>
    <x v="3"/>
    <x v="1"/>
    <x v="10"/>
    <s v="Beer"/>
    <n v="182726"/>
    <n v="3019150"/>
    <n v="6.05"/>
  </r>
  <r>
    <x v="4"/>
    <x v="1"/>
    <x v="10"/>
    <s v="Beer"/>
    <n v="1650676"/>
    <n v="17980787"/>
    <n v="9.18"/>
  </r>
  <r>
    <x v="5"/>
    <x v="1"/>
    <x v="10"/>
    <s v="Beer"/>
    <n v="892216"/>
    <n v="10533371"/>
    <n v="8.4700000000000006"/>
  </r>
  <r>
    <x v="6"/>
    <x v="1"/>
    <x v="10"/>
    <s v="Beer"/>
    <n v="191461"/>
    <n v="2364319"/>
    <n v="8.1"/>
  </r>
  <r>
    <x v="7"/>
    <x v="1"/>
    <x v="10"/>
    <s v="Beer"/>
    <n v="227750"/>
    <n v="3681254"/>
    <n v="6.19"/>
  </r>
  <r>
    <x v="9"/>
    <x v="1"/>
    <x v="10"/>
    <s v="Beer"/>
    <n v="358489"/>
    <n v="5844357"/>
    <n v="6.13"/>
  </r>
  <r>
    <x v="10"/>
    <x v="1"/>
    <x v="10"/>
    <s v="Beer"/>
    <n v="418029"/>
    <n v="5056750"/>
    <n v="8.27"/>
  </r>
  <r>
    <x v="11"/>
    <x v="1"/>
    <x v="10"/>
    <s v="Beer"/>
    <n v="65959"/>
    <n v="615077"/>
    <n v="10.72"/>
  </r>
  <r>
    <x v="15"/>
    <x v="1"/>
    <x v="10"/>
    <s v="Beer"/>
    <n v="332333"/>
    <n v="3509161"/>
    <n v="9.4700000000000006"/>
  </r>
  <r>
    <x v="12"/>
    <x v="1"/>
    <x v="10"/>
    <s v="Beer"/>
    <n v="2282593"/>
    <n v="22899863"/>
    <n v="9.9700000000000006"/>
  </r>
  <r>
    <x v="13"/>
    <x v="1"/>
    <x v="10"/>
    <s v="Beer"/>
    <n v="542676"/>
    <n v="7056421"/>
    <n v="7.69"/>
  </r>
  <r>
    <x v="0"/>
    <x v="1"/>
    <x v="11"/>
    <s v="Spirits"/>
    <n v="68120"/>
    <n v="590760"/>
    <n v="11.53"/>
  </r>
  <r>
    <x v="1"/>
    <x v="1"/>
    <x v="11"/>
    <s v="Spirits"/>
    <n v="141773"/>
    <n v="2465297"/>
    <n v="5.75"/>
  </r>
  <r>
    <x v="2"/>
    <x v="1"/>
    <x v="11"/>
    <s v="Spirits"/>
    <n v="666649"/>
    <n v="4715895"/>
    <n v="14.14"/>
  </r>
  <r>
    <x v="3"/>
    <x v="1"/>
    <x v="11"/>
    <s v="Spirits"/>
    <n v="252690"/>
    <n v="3019150"/>
    <n v="8.3699999999999992"/>
  </r>
  <r>
    <x v="4"/>
    <x v="1"/>
    <x v="11"/>
    <s v="Spirits"/>
    <n v="2232884"/>
    <n v="17980787"/>
    <n v="12.42"/>
  </r>
  <r>
    <x v="5"/>
    <x v="1"/>
    <x v="11"/>
    <s v="Spirits"/>
    <n v="1091330"/>
    <n v="10533371"/>
    <n v="10.36"/>
  </r>
  <r>
    <x v="6"/>
    <x v="1"/>
    <x v="11"/>
    <s v="Spirits"/>
    <n v="202666"/>
    <n v="2364319"/>
    <n v="8.57"/>
  </r>
  <r>
    <x v="7"/>
    <x v="1"/>
    <x v="11"/>
    <s v="Spirits"/>
    <n v="152546"/>
    <n v="3681254"/>
    <n v="4.1399999999999997"/>
  </r>
  <r>
    <x v="8"/>
    <x v="1"/>
    <x v="11"/>
    <s v="Spirits"/>
    <n v="306103"/>
    <n v="3803169"/>
    <n v="8.0500000000000007"/>
  </r>
  <r>
    <x v="9"/>
    <x v="1"/>
    <x v="11"/>
    <s v="Spirits"/>
    <n v="706108"/>
    <n v="5844357"/>
    <n v="12.08"/>
  </r>
  <r>
    <x v="10"/>
    <x v="1"/>
    <x v="11"/>
    <s v="Spirits"/>
    <n v="428880"/>
    <n v="5056750"/>
    <n v="8.48"/>
  </r>
  <r>
    <x v="11"/>
    <x v="1"/>
    <x v="11"/>
    <s v="Spirits"/>
    <n v="89422"/>
    <n v="615077"/>
    <n v="14.54"/>
  </r>
  <r>
    <x v="12"/>
    <x v="1"/>
    <x v="11"/>
    <s v="Spirits"/>
    <n v="1530749"/>
    <n v="22899863"/>
    <n v="6.68"/>
  </r>
  <r>
    <x v="13"/>
    <x v="1"/>
    <x v="11"/>
    <s v="Spirits"/>
    <n v="538269"/>
    <n v="7056421"/>
    <n v="7.63"/>
  </r>
  <r>
    <x v="14"/>
    <x v="1"/>
    <x v="11"/>
    <s v="Spirits"/>
    <n v="419857"/>
    <n v="4829270"/>
    <n v="8.69"/>
  </r>
  <r>
    <x v="0"/>
    <x v="1"/>
    <x v="11"/>
    <s v="Wine"/>
    <n v="29058"/>
    <n v="590760"/>
    <n v="4.92"/>
  </r>
  <r>
    <x v="1"/>
    <x v="1"/>
    <x v="11"/>
    <s v="Wine"/>
    <n v="53967"/>
    <n v="2465297"/>
    <n v="2.19"/>
  </r>
  <r>
    <x v="2"/>
    <x v="1"/>
    <x v="11"/>
    <s v="Wine"/>
    <n v="256549"/>
    <n v="4715895"/>
    <n v="5.44"/>
  </r>
  <r>
    <x v="3"/>
    <x v="1"/>
    <x v="11"/>
    <s v="Wine"/>
    <n v="171703"/>
    <n v="3019150"/>
    <n v="5.69"/>
  </r>
  <r>
    <x v="4"/>
    <x v="1"/>
    <x v="11"/>
    <s v="Wine"/>
    <n v="924553"/>
    <n v="17980787"/>
    <n v="5.14"/>
  </r>
  <r>
    <x v="5"/>
    <x v="1"/>
    <x v="11"/>
    <s v="Wine"/>
    <n v="515275"/>
    <n v="10533371"/>
    <n v="4.8899999999999997"/>
  </r>
  <r>
    <x v="7"/>
    <x v="1"/>
    <x v="11"/>
    <s v="Wine"/>
    <n v="43987"/>
    <n v="3681254"/>
    <n v="1.19"/>
  </r>
  <r>
    <x v="8"/>
    <x v="1"/>
    <x v="11"/>
    <s v="Wine"/>
    <n v="121533"/>
    <n v="3803169"/>
    <n v="3.2"/>
  </r>
  <r>
    <x v="9"/>
    <x v="1"/>
    <x v="11"/>
    <s v="Wine"/>
    <n v="436148"/>
    <n v="5844357"/>
    <n v="7.46"/>
  </r>
  <r>
    <x v="10"/>
    <x v="1"/>
    <x v="11"/>
    <s v="Wine"/>
    <n v="169058"/>
    <n v="5056750"/>
    <n v="3.34"/>
  </r>
  <r>
    <x v="11"/>
    <x v="1"/>
    <x v="11"/>
    <s v="Wine"/>
    <n v="26781"/>
    <n v="615077"/>
    <n v="4.3499999999999996"/>
  </r>
  <r>
    <x v="15"/>
    <x v="1"/>
    <x v="11"/>
    <s v="Wine"/>
    <n v="186779"/>
    <n v="3509161"/>
    <n v="5.32"/>
  </r>
  <r>
    <x v="12"/>
    <x v="1"/>
    <x v="11"/>
    <s v="Wine"/>
    <n v="727084"/>
    <n v="22899863"/>
    <n v="3.18"/>
  </r>
  <r>
    <x v="13"/>
    <x v="1"/>
    <x v="11"/>
    <s v="Wine"/>
    <n v="340924"/>
    <n v="7056421"/>
    <n v="4.83"/>
  </r>
  <r>
    <x v="14"/>
    <x v="1"/>
    <x v="11"/>
    <s v="Wine"/>
    <n v="168941"/>
    <n v="4829270"/>
    <n v="3.5"/>
  </r>
  <r>
    <x v="0"/>
    <x v="1"/>
    <x v="11"/>
    <s v="Beer"/>
    <n v="43674"/>
    <n v="590760"/>
    <n v="7.39"/>
  </r>
  <r>
    <x v="1"/>
    <x v="1"/>
    <x v="11"/>
    <s v="Beer"/>
    <n v="163161"/>
    <n v="2465297"/>
    <n v="6.62"/>
  </r>
  <r>
    <x v="2"/>
    <x v="1"/>
    <x v="11"/>
    <s v="Beer"/>
    <n v="414575"/>
    <n v="4715895"/>
    <n v="8.7899999999999991"/>
  </r>
  <r>
    <x v="3"/>
    <x v="1"/>
    <x v="11"/>
    <s v="Beer"/>
    <n v="194485"/>
    <n v="3019150"/>
    <n v="6.44"/>
  </r>
  <r>
    <x v="4"/>
    <x v="1"/>
    <x v="11"/>
    <s v="Beer"/>
    <n v="1601217"/>
    <n v="17980787"/>
    <n v="8.91"/>
  </r>
  <r>
    <x v="5"/>
    <x v="1"/>
    <x v="11"/>
    <s v="Beer"/>
    <n v="932724"/>
    <n v="10533371"/>
    <n v="8.85"/>
  </r>
  <r>
    <x v="6"/>
    <x v="1"/>
    <x v="11"/>
    <s v="Beer"/>
    <n v="162409"/>
    <n v="2364319"/>
    <n v="6.87"/>
  </r>
  <r>
    <x v="7"/>
    <x v="1"/>
    <x v="11"/>
    <s v="Beer"/>
    <n v="400536"/>
    <n v="3681254"/>
    <n v="10.88"/>
  </r>
  <r>
    <x v="9"/>
    <x v="1"/>
    <x v="11"/>
    <s v="Beer"/>
    <n v="373428"/>
    <n v="5844357"/>
    <n v="6.39"/>
  </r>
  <r>
    <x v="10"/>
    <x v="1"/>
    <x v="11"/>
    <s v="Beer"/>
    <n v="397930"/>
    <n v="5056750"/>
    <n v="7.87"/>
  </r>
  <r>
    <x v="11"/>
    <x v="1"/>
    <x v="11"/>
    <s v="Beer"/>
    <n v="67512"/>
    <n v="615077"/>
    <n v="10.98"/>
  </r>
  <r>
    <x v="15"/>
    <x v="1"/>
    <x v="11"/>
    <s v="Beer"/>
    <n v="299804"/>
    <n v="3509161"/>
    <n v="8.5399999999999991"/>
  </r>
  <r>
    <x v="12"/>
    <x v="1"/>
    <x v="11"/>
    <s v="Beer"/>
    <n v="2259871"/>
    <n v="22899863"/>
    <n v="9.8699999999999992"/>
  </r>
  <r>
    <x v="13"/>
    <x v="1"/>
    <x v="11"/>
    <s v="Beer"/>
    <n v="521033"/>
    <n v="7056421"/>
    <n v="7.38"/>
  </r>
  <r>
    <x v="0"/>
    <x v="2"/>
    <x v="0"/>
    <s v="Spirits"/>
    <n v="46375"/>
    <n v="589481"/>
    <n v="7.87"/>
  </r>
  <r>
    <x v="1"/>
    <x v="2"/>
    <x v="0"/>
    <s v="Spirits"/>
    <n v="143719"/>
    <n v="2476087"/>
    <n v="5.8"/>
  </r>
  <r>
    <x v="2"/>
    <x v="2"/>
    <x v="0"/>
    <s v="Spirits"/>
    <n v="365585"/>
    <n v="4789291"/>
    <n v="7.63"/>
  </r>
  <r>
    <x v="3"/>
    <x v="2"/>
    <x v="0"/>
    <s v="Spirits"/>
    <n v="252690"/>
    <n v="3019188"/>
    <n v="8.3699999999999992"/>
  </r>
  <r>
    <x v="4"/>
    <x v="2"/>
    <x v="0"/>
    <s v="Spirits"/>
    <n v="1348697"/>
    <n v="18207522"/>
    <n v="7.41"/>
  </r>
  <r>
    <x v="5"/>
    <x v="2"/>
    <x v="0"/>
    <s v="Spirits"/>
    <n v="461071"/>
    <n v="10512479"/>
    <n v="4.3899999999999997"/>
  </r>
  <r>
    <x v="6"/>
    <x v="2"/>
    <x v="0"/>
    <s v="Spirits"/>
    <n v="166160"/>
    <n v="2371396"/>
    <n v="7.01"/>
  </r>
  <r>
    <x v="7"/>
    <x v="2"/>
    <x v="0"/>
    <s v="Spirits"/>
    <n v="457488"/>
    <n v="3691561"/>
    <n v="12.39"/>
  </r>
  <r>
    <x v="8"/>
    <x v="2"/>
    <x v="0"/>
    <s v="Spirits"/>
    <n v="239780"/>
    <n v="3799736"/>
    <n v="6.31"/>
  </r>
  <r>
    <x v="9"/>
    <x v="2"/>
    <x v="0"/>
    <s v="Spirits"/>
    <n v="294265"/>
    <n v="5862386"/>
    <n v="5.0199999999999996"/>
  </r>
  <r>
    <x v="10"/>
    <x v="2"/>
    <x v="0"/>
    <s v="Spirits"/>
    <n v="343266"/>
    <n v="5077875"/>
    <n v="6.76"/>
  </r>
  <r>
    <x v="11"/>
    <x v="2"/>
    <x v="0"/>
    <s v="Spirits"/>
    <n v="53309"/>
    <n v="617880"/>
    <n v="8.6300000000000008"/>
  </r>
  <r>
    <x v="12"/>
    <x v="2"/>
    <x v="0"/>
    <s v="Spirits"/>
    <n v="1776694"/>
    <n v="23257363"/>
    <n v="7.64"/>
  </r>
  <r>
    <x v="13"/>
    <x v="2"/>
    <x v="0"/>
    <s v="Spirits"/>
    <n v="358265"/>
    <n v="7094962"/>
    <n v="5.05"/>
  </r>
  <r>
    <x v="14"/>
    <x v="2"/>
    <x v="0"/>
    <s v="Spirits"/>
    <n v="608262"/>
    <n v="4851640"/>
    <n v="12.54"/>
  </r>
  <r>
    <x v="0"/>
    <x v="2"/>
    <x v="0"/>
    <s v="Wine"/>
    <n v="19064"/>
    <n v="589481"/>
    <n v="3.23"/>
  </r>
  <r>
    <x v="1"/>
    <x v="2"/>
    <x v="0"/>
    <s v="Wine"/>
    <n v="46574"/>
    <n v="2476087"/>
    <n v="1.88"/>
  </r>
  <r>
    <x v="2"/>
    <x v="2"/>
    <x v="0"/>
    <s v="Wine"/>
    <n v="163185"/>
    <n v="4789291"/>
    <n v="3.41"/>
  </r>
  <r>
    <x v="3"/>
    <x v="2"/>
    <x v="0"/>
    <s v="Wine"/>
    <n v="171703"/>
    <n v="3019188"/>
    <n v="5.69"/>
  </r>
  <r>
    <x v="4"/>
    <x v="2"/>
    <x v="0"/>
    <s v="Wine"/>
    <n v="819403"/>
    <n v="18207522"/>
    <n v="4.5"/>
  </r>
  <r>
    <x v="5"/>
    <x v="2"/>
    <x v="0"/>
    <s v="Wine"/>
    <n v="272966"/>
    <n v="10512479"/>
    <n v="2.6"/>
  </r>
  <r>
    <x v="7"/>
    <x v="2"/>
    <x v="0"/>
    <s v="Wine"/>
    <n v="123374"/>
    <n v="3691561"/>
    <n v="3.34"/>
  </r>
  <r>
    <x v="8"/>
    <x v="2"/>
    <x v="0"/>
    <s v="Wine"/>
    <n v="83765"/>
    <n v="3799736"/>
    <n v="2.2000000000000002"/>
  </r>
  <r>
    <x v="9"/>
    <x v="2"/>
    <x v="0"/>
    <s v="Wine"/>
    <n v="182800"/>
    <n v="5862386"/>
    <n v="3.12"/>
  </r>
  <r>
    <x v="10"/>
    <x v="2"/>
    <x v="0"/>
    <s v="Wine"/>
    <n v="166624"/>
    <n v="5077875"/>
    <n v="3.28"/>
  </r>
  <r>
    <x v="11"/>
    <x v="2"/>
    <x v="0"/>
    <s v="Wine"/>
    <n v="12441"/>
    <n v="617880"/>
    <n v="2.0099999999999998"/>
  </r>
  <r>
    <x v="15"/>
    <x v="2"/>
    <x v="0"/>
    <s v="Wine"/>
    <n v="195813"/>
    <n v="3547474"/>
    <n v="5.52"/>
  </r>
  <r>
    <x v="12"/>
    <x v="2"/>
    <x v="0"/>
    <s v="Wine"/>
    <n v="768781"/>
    <n v="23257363"/>
    <n v="3.31"/>
  </r>
  <r>
    <x v="13"/>
    <x v="2"/>
    <x v="0"/>
    <s v="Wine"/>
    <n v="270483"/>
    <n v="7094962"/>
    <n v="3.81"/>
  </r>
  <r>
    <x v="14"/>
    <x v="2"/>
    <x v="0"/>
    <s v="Wine"/>
    <n v="161231"/>
    <n v="4851640"/>
    <n v="3.32"/>
  </r>
  <r>
    <x v="0"/>
    <x v="2"/>
    <x v="0"/>
    <s v="Beer"/>
    <n v="39296"/>
    <n v="589481"/>
    <n v="6.67"/>
  </r>
  <r>
    <x v="1"/>
    <x v="2"/>
    <x v="0"/>
    <s v="Beer"/>
    <n v="116472"/>
    <n v="2476087"/>
    <n v="4.7"/>
  </r>
  <r>
    <x v="2"/>
    <x v="2"/>
    <x v="0"/>
    <s v="Beer"/>
    <n v="444159"/>
    <n v="4789291"/>
    <n v="9.27"/>
  </r>
  <r>
    <x v="3"/>
    <x v="2"/>
    <x v="0"/>
    <s v="Beer"/>
    <n v="194485"/>
    <n v="3019188"/>
    <n v="6.44"/>
  </r>
  <r>
    <x v="4"/>
    <x v="2"/>
    <x v="0"/>
    <s v="Beer"/>
    <n v="1464090"/>
    <n v="18207522"/>
    <n v="8.0399999999999991"/>
  </r>
  <r>
    <x v="5"/>
    <x v="2"/>
    <x v="0"/>
    <s v="Beer"/>
    <n v="704294"/>
    <n v="10512479"/>
    <n v="6.7"/>
  </r>
  <r>
    <x v="6"/>
    <x v="2"/>
    <x v="0"/>
    <s v="Beer"/>
    <n v="164025"/>
    <n v="2371396"/>
    <n v="6.92"/>
  </r>
  <r>
    <x v="7"/>
    <x v="2"/>
    <x v="0"/>
    <s v="Beer"/>
    <n v="222807"/>
    <n v="3691561"/>
    <n v="6.04"/>
  </r>
  <r>
    <x v="9"/>
    <x v="2"/>
    <x v="0"/>
    <s v="Beer"/>
    <n v="385288"/>
    <n v="5862386"/>
    <n v="6.57"/>
  </r>
  <r>
    <x v="10"/>
    <x v="2"/>
    <x v="0"/>
    <s v="Beer"/>
    <n v="383754"/>
    <n v="5077875"/>
    <n v="7.56"/>
  </r>
  <r>
    <x v="11"/>
    <x v="2"/>
    <x v="0"/>
    <s v="Beer"/>
    <n v="71521"/>
    <n v="617880"/>
    <n v="11.58"/>
  </r>
  <r>
    <x v="15"/>
    <x v="2"/>
    <x v="0"/>
    <s v="Beer"/>
    <n v="306465"/>
    <n v="3547474"/>
    <n v="8.64"/>
  </r>
  <r>
    <x v="12"/>
    <x v="2"/>
    <x v="0"/>
    <s v="Beer"/>
    <n v="2317403"/>
    <n v="23257363"/>
    <n v="9.9600000000000009"/>
  </r>
  <r>
    <x v="13"/>
    <x v="2"/>
    <x v="0"/>
    <s v="Beer"/>
    <n v="487984"/>
    <n v="7094962"/>
    <n v="6.88"/>
  </r>
  <r>
    <x v="0"/>
    <x v="2"/>
    <x v="1"/>
    <s v="Spirits"/>
    <n v="49934"/>
    <n v="589481"/>
    <n v="8.4700000000000006"/>
  </r>
  <r>
    <x v="1"/>
    <x v="2"/>
    <x v="1"/>
    <s v="Spirits"/>
    <n v="121047"/>
    <n v="2476087"/>
    <n v="4.8899999999999997"/>
  </r>
  <r>
    <x v="2"/>
    <x v="2"/>
    <x v="1"/>
    <s v="Spirits"/>
    <n v="408740"/>
    <n v="4789291"/>
    <n v="8.5299999999999994"/>
  </r>
  <r>
    <x v="3"/>
    <x v="2"/>
    <x v="1"/>
    <s v="Spirits"/>
    <n v="251946"/>
    <n v="3019188"/>
    <n v="8.34"/>
  </r>
  <r>
    <x v="4"/>
    <x v="2"/>
    <x v="1"/>
    <s v="Spirits"/>
    <n v="1433429"/>
    <n v="18207522"/>
    <n v="7.87"/>
  </r>
  <r>
    <x v="5"/>
    <x v="2"/>
    <x v="1"/>
    <s v="Spirits"/>
    <n v="634484"/>
    <n v="10512479"/>
    <n v="6.04"/>
  </r>
  <r>
    <x v="6"/>
    <x v="2"/>
    <x v="1"/>
    <s v="Spirits"/>
    <n v="153918"/>
    <n v="2371396"/>
    <n v="6.49"/>
  </r>
  <r>
    <x v="7"/>
    <x v="2"/>
    <x v="1"/>
    <s v="Spirits"/>
    <n v="198360"/>
    <n v="3691561"/>
    <n v="5.37"/>
  </r>
  <r>
    <x v="8"/>
    <x v="2"/>
    <x v="1"/>
    <s v="Spirits"/>
    <n v="257729"/>
    <n v="3799736"/>
    <n v="6.78"/>
  </r>
  <r>
    <x v="9"/>
    <x v="2"/>
    <x v="1"/>
    <s v="Spirits"/>
    <n v="350637"/>
    <n v="5862386"/>
    <n v="5.98"/>
  </r>
  <r>
    <x v="10"/>
    <x v="2"/>
    <x v="1"/>
    <s v="Spirits"/>
    <n v="375449"/>
    <n v="5077875"/>
    <n v="7.39"/>
  </r>
  <r>
    <x v="11"/>
    <x v="2"/>
    <x v="1"/>
    <s v="Spirits"/>
    <n v="62715"/>
    <n v="617880"/>
    <n v="10.15"/>
  </r>
  <r>
    <x v="12"/>
    <x v="2"/>
    <x v="1"/>
    <s v="Spirits"/>
    <n v="1371692"/>
    <n v="23257363"/>
    <n v="5.9"/>
  </r>
  <r>
    <x v="13"/>
    <x v="2"/>
    <x v="1"/>
    <s v="Spirits"/>
    <n v="361980"/>
    <n v="7094962"/>
    <n v="5.0999999999999996"/>
  </r>
  <r>
    <x v="14"/>
    <x v="2"/>
    <x v="1"/>
    <s v="Spirits"/>
    <n v="408271"/>
    <n v="4851640"/>
    <n v="8.42"/>
  </r>
  <r>
    <x v="0"/>
    <x v="2"/>
    <x v="1"/>
    <s v="Wine"/>
    <n v="21549"/>
    <n v="589481"/>
    <n v="3.66"/>
  </r>
  <r>
    <x v="1"/>
    <x v="2"/>
    <x v="1"/>
    <s v="Wine"/>
    <n v="54572"/>
    <n v="2476087"/>
    <n v="2.2000000000000002"/>
  </r>
  <r>
    <x v="2"/>
    <x v="2"/>
    <x v="1"/>
    <s v="Wine"/>
    <n v="194764"/>
    <n v="4789291"/>
    <n v="4.07"/>
  </r>
  <r>
    <x v="3"/>
    <x v="2"/>
    <x v="1"/>
    <s v="Wine"/>
    <n v="125064"/>
    <n v="3019188"/>
    <n v="4.1399999999999997"/>
  </r>
  <r>
    <x v="4"/>
    <x v="2"/>
    <x v="1"/>
    <s v="Wine"/>
    <n v="819451"/>
    <n v="18207522"/>
    <n v="4.5"/>
  </r>
  <r>
    <x v="5"/>
    <x v="2"/>
    <x v="1"/>
    <s v="Wine"/>
    <n v="355060"/>
    <n v="10512479"/>
    <n v="3.38"/>
  </r>
  <r>
    <x v="7"/>
    <x v="2"/>
    <x v="1"/>
    <s v="Wine"/>
    <n v="56040"/>
    <n v="3691561"/>
    <n v="1.52"/>
  </r>
  <r>
    <x v="8"/>
    <x v="2"/>
    <x v="1"/>
    <s v="Wine"/>
    <n v="95026"/>
    <n v="3799736"/>
    <n v="2.5"/>
  </r>
  <r>
    <x v="9"/>
    <x v="2"/>
    <x v="1"/>
    <s v="Wine"/>
    <n v="239497"/>
    <n v="5862386"/>
    <n v="4.09"/>
  </r>
  <r>
    <x v="10"/>
    <x v="2"/>
    <x v="1"/>
    <s v="Wine"/>
    <n v="142300"/>
    <n v="5077875"/>
    <n v="2.8"/>
  </r>
  <r>
    <x v="11"/>
    <x v="2"/>
    <x v="1"/>
    <s v="Wine"/>
    <n v="13197"/>
    <n v="617880"/>
    <n v="2.14"/>
  </r>
  <r>
    <x v="15"/>
    <x v="2"/>
    <x v="1"/>
    <s v="Wine"/>
    <n v="148140"/>
    <n v="3547474"/>
    <n v="4.18"/>
  </r>
  <r>
    <x v="12"/>
    <x v="2"/>
    <x v="1"/>
    <s v="Wine"/>
    <n v="581968"/>
    <n v="23257363"/>
    <n v="2.5"/>
  </r>
  <r>
    <x v="13"/>
    <x v="2"/>
    <x v="1"/>
    <s v="Wine"/>
    <n v="257685"/>
    <n v="7094962"/>
    <n v="3.63"/>
  </r>
  <r>
    <x v="14"/>
    <x v="2"/>
    <x v="1"/>
    <s v="Wine"/>
    <n v="153921"/>
    <n v="4851640"/>
    <n v="3.17"/>
  </r>
  <r>
    <x v="0"/>
    <x v="2"/>
    <x v="1"/>
    <s v="Beer"/>
    <n v="35928"/>
    <n v="589481"/>
    <n v="6.09"/>
  </r>
  <r>
    <x v="1"/>
    <x v="2"/>
    <x v="1"/>
    <s v="Beer"/>
    <n v="169511"/>
    <n v="2476087"/>
    <n v="6.85"/>
  </r>
  <r>
    <x v="2"/>
    <x v="2"/>
    <x v="1"/>
    <s v="Beer"/>
    <n v="354141"/>
    <n v="4789291"/>
    <n v="7.39"/>
  </r>
  <r>
    <x v="3"/>
    <x v="2"/>
    <x v="1"/>
    <s v="Beer"/>
    <n v="146445"/>
    <n v="3019188"/>
    <n v="4.8499999999999996"/>
  </r>
  <r>
    <x v="4"/>
    <x v="2"/>
    <x v="1"/>
    <s v="Beer"/>
    <n v="1430314"/>
    <n v="18207522"/>
    <n v="7.86"/>
  </r>
  <r>
    <x v="5"/>
    <x v="2"/>
    <x v="1"/>
    <s v="Beer"/>
    <n v="731374"/>
    <n v="10512479"/>
    <n v="6.96"/>
  </r>
  <r>
    <x v="6"/>
    <x v="2"/>
    <x v="1"/>
    <s v="Beer"/>
    <n v="181808"/>
    <n v="2371396"/>
    <n v="7.67"/>
  </r>
  <r>
    <x v="7"/>
    <x v="2"/>
    <x v="1"/>
    <s v="Beer"/>
    <n v="114295"/>
    <n v="3691561"/>
    <n v="3.1"/>
  </r>
  <r>
    <x v="9"/>
    <x v="2"/>
    <x v="1"/>
    <s v="Beer"/>
    <n v="340307"/>
    <n v="5862386"/>
    <n v="5.8"/>
  </r>
  <r>
    <x v="10"/>
    <x v="2"/>
    <x v="1"/>
    <s v="Beer"/>
    <n v="173980"/>
    <n v="5077875"/>
    <n v="3.43"/>
  </r>
  <r>
    <x v="11"/>
    <x v="2"/>
    <x v="1"/>
    <s v="Beer"/>
    <n v="56110"/>
    <n v="617880"/>
    <n v="9.08"/>
  </r>
  <r>
    <x v="15"/>
    <x v="2"/>
    <x v="1"/>
    <s v="Beer"/>
    <n v="292047"/>
    <n v="3547474"/>
    <n v="8.23"/>
  </r>
  <r>
    <x v="12"/>
    <x v="2"/>
    <x v="1"/>
    <s v="Beer"/>
    <n v="1965981"/>
    <n v="23257363"/>
    <n v="8.4499999999999993"/>
  </r>
  <r>
    <x v="13"/>
    <x v="2"/>
    <x v="1"/>
    <s v="Beer"/>
    <n v="434430"/>
    <n v="7094962"/>
    <n v="6.12"/>
  </r>
  <r>
    <x v="0"/>
    <x v="2"/>
    <x v="2"/>
    <s v="Spirits"/>
    <n v="60900"/>
    <n v="589481"/>
    <n v="10.33"/>
  </r>
  <r>
    <x v="1"/>
    <x v="2"/>
    <x v="2"/>
    <s v="Spirits"/>
    <n v="142334"/>
    <n v="2476087"/>
    <n v="5.75"/>
  </r>
  <r>
    <x v="2"/>
    <x v="2"/>
    <x v="2"/>
    <s v="Spirits"/>
    <n v="484692"/>
    <n v="4789291"/>
    <n v="10.119999999999999"/>
  </r>
  <r>
    <x v="3"/>
    <x v="2"/>
    <x v="2"/>
    <s v="Spirits"/>
    <n v="229812"/>
    <n v="3019188"/>
    <n v="7.61"/>
  </r>
  <r>
    <x v="4"/>
    <x v="2"/>
    <x v="2"/>
    <s v="Spirits"/>
    <n v="1875541"/>
    <n v="18207522"/>
    <n v="10.3"/>
  </r>
  <r>
    <x v="5"/>
    <x v="2"/>
    <x v="2"/>
    <s v="Spirits"/>
    <n v="715210"/>
    <n v="10512479"/>
    <n v="6.8"/>
  </r>
  <r>
    <x v="6"/>
    <x v="2"/>
    <x v="2"/>
    <s v="Spirits"/>
    <n v="142960"/>
    <n v="2371396"/>
    <n v="6.03"/>
  </r>
  <r>
    <x v="7"/>
    <x v="2"/>
    <x v="2"/>
    <s v="Spirits"/>
    <n v="216031"/>
    <n v="3691561"/>
    <n v="5.85"/>
  </r>
  <r>
    <x v="8"/>
    <x v="2"/>
    <x v="2"/>
    <s v="Spirits"/>
    <n v="263867"/>
    <n v="3799736"/>
    <n v="6.94"/>
  </r>
  <r>
    <x v="9"/>
    <x v="2"/>
    <x v="2"/>
    <s v="Spirits"/>
    <n v="451031"/>
    <n v="5862386"/>
    <n v="7.69"/>
  </r>
  <r>
    <x v="10"/>
    <x v="2"/>
    <x v="2"/>
    <s v="Spirits"/>
    <n v="438535"/>
    <n v="5077875"/>
    <n v="8.64"/>
  </r>
  <r>
    <x v="11"/>
    <x v="2"/>
    <x v="2"/>
    <s v="Spirits"/>
    <n v="63494"/>
    <n v="617880"/>
    <n v="10.28"/>
  </r>
  <r>
    <x v="12"/>
    <x v="2"/>
    <x v="2"/>
    <s v="Spirits"/>
    <n v="1231361"/>
    <n v="23257363"/>
    <n v="5.29"/>
  </r>
  <r>
    <x v="13"/>
    <x v="2"/>
    <x v="2"/>
    <s v="Spirits"/>
    <n v="413413"/>
    <n v="7094962"/>
    <n v="5.83"/>
  </r>
  <r>
    <x v="14"/>
    <x v="2"/>
    <x v="2"/>
    <s v="Spirits"/>
    <n v="450865"/>
    <n v="4851640"/>
    <n v="9.2899999999999991"/>
  </r>
  <r>
    <x v="0"/>
    <x v="2"/>
    <x v="2"/>
    <s v="Wine"/>
    <n v="23356"/>
    <n v="589481"/>
    <n v="3.96"/>
  </r>
  <r>
    <x v="1"/>
    <x v="2"/>
    <x v="2"/>
    <s v="Wine"/>
    <n v="45884"/>
    <n v="2476087"/>
    <n v="1.85"/>
  </r>
  <r>
    <x v="2"/>
    <x v="2"/>
    <x v="2"/>
    <s v="Wine"/>
    <n v="188030"/>
    <n v="4789291"/>
    <n v="3.93"/>
  </r>
  <r>
    <x v="3"/>
    <x v="2"/>
    <x v="2"/>
    <s v="Wine"/>
    <n v="143239"/>
    <n v="3019188"/>
    <n v="4.74"/>
  </r>
  <r>
    <x v="4"/>
    <x v="2"/>
    <x v="2"/>
    <s v="Wine"/>
    <n v="825764"/>
    <n v="18207522"/>
    <n v="4.54"/>
  </r>
  <r>
    <x v="5"/>
    <x v="2"/>
    <x v="2"/>
    <s v="Wine"/>
    <n v="353356"/>
    <n v="10512479"/>
    <n v="3.36"/>
  </r>
  <r>
    <x v="7"/>
    <x v="2"/>
    <x v="2"/>
    <s v="Wine"/>
    <n v="60431"/>
    <n v="3691561"/>
    <n v="1.64"/>
  </r>
  <r>
    <x v="8"/>
    <x v="2"/>
    <x v="2"/>
    <s v="Wine"/>
    <n v="85856"/>
    <n v="3799736"/>
    <n v="2.2599999999999998"/>
  </r>
  <r>
    <x v="9"/>
    <x v="2"/>
    <x v="2"/>
    <s v="Wine"/>
    <n v="254419"/>
    <n v="5862386"/>
    <n v="4.34"/>
  </r>
  <r>
    <x v="10"/>
    <x v="2"/>
    <x v="2"/>
    <s v="Wine"/>
    <n v="157173"/>
    <n v="5077875"/>
    <n v="3.1"/>
  </r>
  <r>
    <x v="11"/>
    <x v="2"/>
    <x v="2"/>
    <s v="Wine"/>
    <n v="14730"/>
    <n v="617880"/>
    <n v="2.38"/>
  </r>
  <r>
    <x v="15"/>
    <x v="2"/>
    <x v="2"/>
    <s v="Wine"/>
    <n v="103744"/>
    <n v="3547474"/>
    <n v="2.92"/>
  </r>
  <r>
    <x v="12"/>
    <x v="2"/>
    <x v="2"/>
    <s v="Wine"/>
    <n v="591739"/>
    <n v="23257363"/>
    <n v="2.54"/>
  </r>
  <r>
    <x v="13"/>
    <x v="2"/>
    <x v="2"/>
    <s v="Wine"/>
    <n v="261211"/>
    <n v="7094962"/>
    <n v="3.68"/>
  </r>
  <r>
    <x v="14"/>
    <x v="2"/>
    <x v="2"/>
    <s v="Wine"/>
    <n v="116555"/>
    <n v="4851640"/>
    <n v="2.4"/>
  </r>
  <r>
    <x v="0"/>
    <x v="2"/>
    <x v="2"/>
    <s v="Beer"/>
    <n v="44638"/>
    <n v="589481"/>
    <n v="7.57"/>
  </r>
  <r>
    <x v="1"/>
    <x v="2"/>
    <x v="2"/>
    <s v="Beer"/>
    <n v="150820"/>
    <n v="2476087"/>
    <n v="6.09"/>
  </r>
  <r>
    <x v="2"/>
    <x v="2"/>
    <x v="2"/>
    <s v="Beer"/>
    <n v="411489"/>
    <n v="4789291"/>
    <n v="8.59"/>
  </r>
  <r>
    <x v="3"/>
    <x v="2"/>
    <x v="2"/>
    <s v="Beer"/>
    <n v="175885"/>
    <n v="3019188"/>
    <n v="5.83"/>
  </r>
  <r>
    <x v="4"/>
    <x v="2"/>
    <x v="2"/>
    <s v="Beer"/>
    <n v="1725195"/>
    <n v="18207522"/>
    <n v="9.48"/>
  </r>
  <r>
    <x v="5"/>
    <x v="2"/>
    <x v="2"/>
    <s v="Beer"/>
    <n v="831161"/>
    <n v="10512479"/>
    <n v="7.91"/>
  </r>
  <r>
    <x v="6"/>
    <x v="2"/>
    <x v="2"/>
    <s v="Beer"/>
    <n v="143606"/>
    <n v="2371396"/>
    <n v="6.06"/>
  </r>
  <r>
    <x v="7"/>
    <x v="2"/>
    <x v="2"/>
    <s v="Beer"/>
    <n v="243751"/>
    <n v="3691561"/>
    <n v="6.6"/>
  </r>
  <r>
    <x v="9"/>
    <x v="2"/>
    <x v="2"/>
    <s v="Beer"/>
    <n v="413465"/>
    <n v="5862386"/>
    <n v="7.05"/>
  </r>
  <r>
    <x v="10"/>
    <x v="2"/>
    <x v="2"/>
    <s v="Beer"/>
    <n v="695256"/>
    <n v="5077875"/>
    <n v="13.69"/>
  </r>
  <r>
    <x v="11"/>
    <x v="2"/>
    <x v="2"/>
    <s v="Beer"/>
    <n v="74180"/>
    <n v="617880"/>
    <n v="12.01"/>
  </r>
  <r>
    <x v="15"/>
    <x v="2"/>
    <x v="2"/>
    <s v="Beer"/>
    <n v="293098"/>
    <n v="3547474"/>
    <n v="8.26"/>
  </r>
  <r>
    <x v="12"/>
    <x v="2"/>
    <x v="2"/>
    <s v="Beer"/>
    <n v="1839722"/>
    <n v="23257363"/>
    <n v="7.91"/>
  </r>
  <r>
    <x v="13"/>
    <x v="2"/>
    <x v="2"/>
    <s v="Beer"/>
    <n v="498475"/>
    <n v="7094962"/>
    <n v="7.03"/>
  </r>
  <r>
    <x v="0"/>
    <x v="2"/>
    <x v="3"/>
    <s v="Spirits"/>
    <n v="55268"/>
    <n v="589481"/>
    <n v="9.3800000000000008"/>
  </r>
  <r>
    <x v="1"/>
    <x v="2"/>
    <x v="3"/>
    <s v="Spirits"/>
    <n v="160618"/>
    <n v="2476087"/>
    <n v="6.49"/>
  </r>
  <r>
    <x v="2"/>
    <x v="2"/>
    <x v="3"/>
    <s v="Spirits"/>
    <n v="443880"/>
    <n v="4789291"/>
    <n v="9.27"/>
  </r>
  <r>
    <x v="3"/>
    <x v="2"/>
    <x v="3"/>
    <s v="Spirits"/>
    <n v="254701"/>
    <n v="3019188"/>
    <n v="8.44"/>
  </r>
  <r>
    <x v="4"/>
    <x v="2"/>
    <x v="3"/>
    <s v="Spirits"/>
    <n v="1636061"/>
    <n v="18207522"/>
    <n v="8.99"/>
  </r>
  <r>
    <x v="5"/>
    <x v="2"/>
    <x v="3"/>
    <s v="Spirits"/>
    <n v="725139"/>
    <n v="10512479"/>
    <n v="6.9"/>
  </r>
  <r>
    <x v="6"/>
    <x v="2"/>
    <x v="3"/>
    <s v="Spirits"/>
    <n v="157033"/>
    <n v="2371396"/>
    <n v="6.62"/>
  </r>
  <r>
    <x v="7"/>
    <x v="2"/>
    <x v="3"/>
    <s v="Spirits"/>
    <n v="265682"/>
    <n v="3691561"/>
    <n v="7.2"/>
  </r>
  <r>
    <x v="8"/>
    <x v="2"/>
    <x v="3"/>
    <s v="Spirits"/>
    <n v="327974"/>
    <n v="3799736"/>
    <n v="8.6300000000000008"/>
  </r>
  <r>
    <x v="9"/>
    <x v="2"/>
    <x v="3"/>
    <s v="Spirits"/>
    <n v="444597"/>
    <n v="5862386"/>
    <n v="7.58"/>
  </r>
  <r>
    <x v="10"/>
    <x v="2"/>
    <x v="3"/>
    <s v="Spirits"/>
    <n v="483353"/>
    <n v="5077875"/>
    <n v="9.52"/>
  </r>
  <r>
    <x v="11"/>
    <x v="2"/>
    <x v="3"/>
    <s v="Spirits"/>
    <n v="67105"/>
    <n v="617880"/>
    <n v="10.86"/>
  </r>
  <r>
    <x v="12"/>
    <x v="2"/>
    <x v="3"/>
    <s v="Spirits"/>
    <n v="1274917"/>
    <n v="23257363"/>
    <n v="5.48"/>
  </r>
  <r>
    <x v="13"/>
    <x v="2"/>
    <x v="3"/>
    <s v="Spirits"/>
    <n v="394111"/>
    <n v="7094962"/>
    <n v="5.55"/>
  </r>
  <r>
    <x v="14"/>
    <x v="2"/>
    <x v="3"/>
    <s v="Spirits"/>
    <n v="395346"/>
    <n v="4851640"/>
    <n v="8.15"/>
  </r>
  <r>
    <x v="0"/>
    <x v="2"/>
    <x v="3"/>
    <s v="Wine"/>
    <n v="23618"/>
    <n v="589481"/>
    <n v="4.01"/>
  </r>
  <r>
    <x v="1"/>
    <x v="2"/>
    <x v="3"/>
    <s v="Wine"/>
    <n v="52904"/>
    <n v="2476087"/>
    <n v="2.14"/>
  </r>
  <r>
    <x v="2"/>
    <x v="2"/>
    <x v="3"/>
    <s v="Wine"/>
    <n v="183128"/>
    <n v="4789291"/>
    <n v="3.82"/>
  </r>
  <r>
    <x v="3"/>
    <x v="2"/>
    <x v="3"/>
    <s v="Wine"/>
    <n v="140983"/>
    <n v="3019188"/>
    <n v="4.67"/>
  </r>
  <r>
    <x v="4"/>
    <x v="2"/>
    <x v="3"/>
    <s v="Wine"/>
    <n v="825742"/>
    <n v="18207522"/>
    <n v="4.54"/>
  </r>
  <r>
    <x v="5"/>
    <x v="2"/>
    <x v="3"/>
    <s v="Wine"/>
    <n v="388191"/>
    <n v="10512479"/>
    <n v="3.69"/>
  </r>
  <r>
    <x v="7"/>
    <x v="2"/>
    <x v="3"/>
    <s v="Wine"/>
    <n v="57272"/>
    <n v="3691561"/>
    <n v="1.55"/>
  </r>
  <r>
    <x v="8"/>
    <x v="2"/>
    <x v="3"/>
    <s v="Wine"/>
    <n v="106950"/>
    <n v="3799736"/>
    <n v="2.81"/>
  </r>
  <r>
    <x v="9"/>
    <x v="2"/>
    <x v="3"/>
    <s v="Wine"/>
    <n v="282571"/>
    <n v="5862386"/>
    <n v="4.82"/>
  </r>
  <r>
    <x v="10"/>
    <x v="2"/>
    <x v="3"/>
    <s v="Wine"/>
    <n v="147693"/>
    <n v="5077875"/>
    <n v="2.91"/>
  </r>
  <r>
    <x v="11"/>
    <x v="2"/>
    <x v="3"/>
    <s v="Wine"/>
    <n v="23036"/>
    <n v="617880"/>
    <n v="3.73"/>
  </r>
  <r>
    <x v="15"/>
    <x v="2"/>
    <x v="3"/>
    <s v="Wine"/>
    <n v="232087"/>
    <n v="3547474"/>
    <n v="6.54"/>
  </r>
  <r>
    <x v="12"/>
    <x v="2"/>
    <x v="3"/>
    <s v="Wine"/>
    <n v="604070"/>
    <n v="23257363"/>
    <n v="2.6"/>
  </r>
  <r>
    <x v="13"/>
    <x v="2"/>
    <x v="3"/>
    <s v="Wine"/>
    <n v="293252"/>
    <n v="7094962"/>
    <n v="4.13"/>
  </r>
  <r>
    <x v="14"/>
    <x v="2"/>
    <x v="3"/>
    <s v="Wine"/>
    <n v="150979"/>
    <n v="4851640"/>
    <n v="3.11"/>
  </r>
  <r>
    <x v="0"/>
    <x v="2"/>
    <x v="3"/>
    <s v="Beer"/>
    <n v="51214"/>
    <n v="589481"/>
    <n v="8.69"/>
  </r>
  <r>
    <x v="1"/>
    <x v="2"/>
    <x v="3"/>
    <s v="Beer"/>
    <n v="176747"/>
    <n v="2476087"/>
    <n v="7.14"/>
  </r>
  <r>
    <x v="2"/>
    <x v="2"/>
    <x v="3"/>
    <s v="Beer"/>
    <n v="464585"/>
    <n v="4789291"/>
    <n v="9.6999999999999993"/>
  </r>
  <r>
    <x v="3"/>
    <x v="2"/>
    <x v="3"/>
    <s v="Beer"/>
    <n v="194294"/>
    <n v="3019188"/>
    <n v="6.44"/>
  </r>
  <r>
    <x v="4"/>
    <x v="2"/>
    <x v="3"/>
    <s v="Beer"/>
    <n v="1643040"/>
    <n v="18207522"/>
    <n v="9.02"/>
  </r>
  <r>
    <x v="5"/>
    <x v="2"/>
    <x v="3"/>
    <s v="Beer"/>
    <n v="919214"/>
    <n v="10512479"/>
    <n v="8.74"/>
  </r>
  <r>
    <x v="6"/>
    <x v="2"/>
    <x v="3"/>
    <s v="Beer"/>
    <n v="215579"/>
    <n v="2371396"/>
    <n v="9.09"/>
  </r>
  <r>
    <x v="7"/>
    <x v="2"/>
    <x v="3"/>
    <s v="Beer"/>
    <n v="298141"/>
    <n v="3691561"/>
    <n v="8.08"/>
  </r>
  <r>
    <x v="9"/>
    <x v="2"/>
    <x v="3"/>
    <s v="Beer"/>
    <n v="478989"/>
    <n v="5862386"/>
    <n v="8.17"/>
  </r>
  <r>
    <x v="10"/>
    <x v="2"/>
    <x v="3"/>
    <s v="Beer"/>
    <n v="485288"/>
    <n v="5077875"/>
    <n v="9.56"/>
  </r>
  <r>
    <x v="11"/>
    <x v="2"/>
    <x v="3"/>
    <s v="Beer"/>
    <n v="84014"/>
    <n v="617880"/>
    <n v="13.6"/>
  </r>
  <r>
    <x v="15"/>
    <x v="2"/>
    <x v="3"/>
    <s v="Beer"/>
    <n v="329985"/>
    <n v="3547474"/>
    <n v="9.3000000000000007"/>
  </r>
  <r>
    <x v="12"/>
    <x v="2"/>
    <x v="3"/>
    <s v="Beer"/>
    <n v="2236446"/>
    <n v="23257363"/>
    <n v="9.6199999999999992"/>
  </r>
  <r>
    <x v="13"/>
    <x v="2"/>
    <x v="3"/>
    <s v="Beer"/>
    <n v="570960"/>
    <n v="7094962"/>
    <n v="8.0500000000000007"/>
  </r>
  <r>
    <x v="0"/>
    <x v="2"/>
    <x v="4"/>
    <s v="Spirits"/>
    <n v="76844"/>
    <n v="589481"/>
    <n v="13.04"/>
  </r>
  <r>
    <x v="1"/>
    <x v="2"/>
    <x v="4"/>
    <s v="Spirits"/>
    <n v="130988"/>
    <n v="2476087"/>
    <n v="5.29"/>
  </r>
  <r>
    <x v="2"/>
    <x v="2"/>
    <x v="4"/>
    <s v="Spirits"/>
    <n v="284741"/>
    <n v="4789291"/>
    <n v="5.95"/>
  </r>
  <r>
    <x v="3"/>
    <x v="2"/>
    <x v="4"/>
    <s v="Spirits"/>
    <n v="280678"/>
    <n v="3019188"/>
    <n v="9.3000000000000007"/>
  </r>
  <r>
    <x v="4"/>
    <x v="2"/>
    <x v="4"/>
    <s v="Spirits"/>
    <n v="1633806"/>
    <n v="18207522"/>
    <n v="8.9700000000000006"/>
  </r>
  <r>
    <x v="5"/>
    <x v="2"/>
    <x v="4"/>
    <s v="Spirits"/>
    <n v="829945"/>
    <n v="10512479"/>
    <n v="7.89"/>
  </r>
  <r>
    <x v="6"/>
    <x v="2"/>
    <x v="4"/>
    <s v="Spirits"/>
    <n v="177983"/>
    <n v="2371396"/>
    <n v="7.51"/>
  </r>
  <r>
    <x v="7"/>
    <x v="2"/>
    <x v="4"/>
    <s v="Spirits"/>
    <n v="282910"/>
    <n v="3691561"/>
    <n v="7.66"/>
  </r>
  <r>
    <x v="8"/>
    <x v="2"/>
    <x v="4"/>
    <s v="Spirits"/>
    <n v="357857"/>
    <n v="3799736"/>
    <n v="9.42"/>
  </r>
  <r>
    <x v="9"/>
    <x v="2"/>
    <x v="4"/>
    <s v="Spirits"/>
    <n v="580322"/>
    <n v="5862386"/>
    <n v="9.9"/>
  </r>
  <r>
    <x v="10"/>
    <x v="2"/>
    <x v="4"/>
    <s v="Spirits"/>
    <n v="510654"/>
    <n v="5077875"/>
    <n v="10.06"/>
  </r>
  <r>
    <x v="11"/>
    <x v="2"/>
    <x v="4"/>
    <s v="Spirits"/>
    <n v="70153"/>
    <n v="617880"/>
    <n v="11.35"/>
  </r>
  <r>
    <x v="12"/>
    <x v="2"/>
    <x v="4"/>
    <s v="Spirits"/>
    <n v="1523221"/>
    <n v="23257363"/>
    <n v="6.55"/>
  </r>
  <r>
    <x v="13"/>
    <x v="2"/>
    <x v="4"/>
    <s v="Spirits"/>
    <n v="443046"/>
    <n v="7094962"/>
    <n v="6.24"/>
  </r>
  <r>
    <x v="14"/>
    <x v="2"/>
    <x v="4"/>
    <s v="Spirits"/>
    <n v="494061"/>
    <n v="4851640"/>
    <n v="10.18"/>
  </r>
  <r>
    <x v="0"/>
    <x v="2"/>
    <x v="4"/>
    <s v="Wine"/>
    <n v="29427"/>
    <n v="589481"/>
    <n v="4.99"/>
  </r>
  <r>
    <x v="1"/>
    <x v="2"/>
    <x v="4"/>
    <s v="Wine"/>
    <n v="53853"/>
    <n v="2476087"/>
    <n v="2.17"/>
  </r>
  <r>
    <x v="2"/>
    <x v="2"/>
    <x v="4"/>
    <s v="Wine"/>
    <n v="146093"/>
    <n v="4789291"/>
    <n v="3.05"/>
  </r>
  <r>
    <x v="3"/>
    <x v="2"/>
    <x v="4"/>
    <s v="Wine"/>
    <n v="150565"/>
    <n v="3019188"/>
    <n v="4.99"/>
  </r>
  <r>
    <x v="4"/>
    <x v="2"/>
    <x v="4"/>
    <s v="Wine"/>
    <n v="754917"/>
    <n v="18207522"/>
    <n v="4.1500000000000004"/>
  </r>
  <r>
    <x v="5"/>
    <x v="2"/>
    <x v="4"/>
    <s v="Wine"/>
    <n v="421464"/>
    <n v="10512479"/>
    <n v="4.01"/>
  </r>
  <r>
    <x v="7"/>
    <x v="2"/>
    <x v="4"/>
    <s v="Wine"/>
    <n v="70605"/>
    <n v="3691561"/>
    <n v="1.91"/>
  </r>
  <r>
    <x v="8"/>
    <x v="2"/>
    <x v="4"/>
    <s v="Wine"/>
    <n v="112680"/>
    <n v="3799736"/>
    <n v="2.97"/>
  </r>
  <r>
    <x v="9"/>
    <x v="2"/>
    <x v="4"/>
    <s v="Wine"/>
    <n v="335240"/>
    <n v="5862386"/>
    <n v="5.72"/>
  </r>
  <r>
    <x v="10"/>
    <x v="2"/>
    <x v="4"/>
    <s v="Wine"/>
    <n v="176435"/>
    <n v="5077875"/>
    <n v="3.47"/>
  </r>
  <r>
    <x v="11"/>
    <x v="2"/>
    <x v="4"/>
    <s v="Wine"/>
    <n v="14910"/>
    <n v="617880"/>
    <n v="2.41"/>
  </r>
  <r>
    <x v="15"/>
    <x v="2"/>
    <x v="4"/>
    <s v="Wine"/>
    <n v="165450"/>
    <n v="3547474"/>
    <n v="4.66"/>
  </r>
  <r>
    <x v="12"/>
    <x v="2"/>
    <x v="4"/>
    <s v="Wine"/>
    <n v="636862"/>
    <n v="23257363"/>
    <n v="2.74"/>
  </r>
  <r>
    <x v="13"/>
    <x v="2"/>
    <x v="4"/>
    <s v="Wine"/>
    <n v="315072"/>
    <n v="7094962"/>
    <n v="4.4400000000000004"/>
  </r>
  <r>
    <x v="14"/>
    <x v="2"/>
    <x v="4"/>
    <s v="Wine"/>
    <n v="123430"/>
    <n v="4851640"/>
    <n v="2.54"/>
  </r>
  <r>
    <x v="0"/>
    <x v="2"/>
    <x v="4"/>
    <s v="Beer"/>
    <n v="66696"/>
    <n v="589481"/>
    <n v="11.31"/>
  </r>
  <r>
    <x v="1"/>
    <x v="2"/>
    <x v="4"/>
    <s v="Beer"/>
    <n v="175198"/>
    <n v="2476087"/>
    <n v="7.08"/>
  </r>
  <r>
    <x v="2"/>
    <x v="2"/>
    <x v="4"/>
    <s v="Beer"/>
    <n v="505670"/>
    <n v="4789291"/>
    <n v="10.56"/>
  </r>
  <r>
    <x v="3"/>
    <x v="2"/>
    <x v="4"/>
    <s v="Beer"/>
    <n v="231191"/>
    <n v="3019188"/>
    <n v="7.66"/>
  </r>
  <r>
    <x v="4"/>
    <x v="2"/>
    <x v="4"/>
    <s v="Beer"/>
    <n v="1795631"/>
    <n v="18207522"/>
    <n v="9.86"/>
  </r>
  <r>
    <x v="5"/>
    <x v="2"/>
    <x v="4"/>
    <s v="Beer"/>
    <n v="1113209"/>
    <n v="10512479"/>
    <n v="10.59"/>
  </r>
  <r>
    <x v="6"/>
    <x v="2"/>
    <x v="4"/>
    <s v="Beer"/>
    <n v="210334"/>
    <n v="2371396"/>
    <n v="8.8699999999999992"/>
  </r>
  <r>
    <x v="7"/>
    <x v="2"/>
    <x v="4"/>
    <s v="Beer"/>
    <n v="308090"/>
    <n v="3691561"/>
    <n v="8.35"/>
  </r>
  <r>
    <x v="9"/>
    <x v="2"/>
    <x v="4"/>
    <s v="Beer"/>
    <n v="552564"/>
    <n v="5862386"/>
    <n v="9.43"/>
  </r>
  <r>
    <x v="10"/>
    <x v="2"/>
    <x v="4"/>
    <s v="Beer"/>
    <n v="532645"/>
    <n v="5077875"/>
    <n v="10.49"/>
  </r>
  <r>
    <x v="11"/>
    <x v="2"/>
    <x v="4"/>
    <s v="Beer"/>
    <n v="90003"/>
    <n v="617880"/>
    <n v="14.57"/>
  </r>
  <r>
    <x v="15"/>
    <x v="2"/>
    <x v="4"/>
    <s v="Beer"/>
    <n v="393905"/>
    <n v="3547474"/>
    <n v="11.1"/>
  </r>
  <r>
    <x v="12"/>
    <x v="2"/>
    <x v="4"/>
    <s v="Beer"/>
    <n v="2410456"/>
    <n v="23257363"/>
    <n v="10.36"/>
  </r>
  <r>
    <x v="13"/>
    <x v="2"/>
    <x v="4"/>
    <s v="Beer"/>
    <n v="670576"/>
    <n v="7094962"/>
    <n v="9.4499999999999993"/>
  </r>
  <r>
    <x v="0"/>
    <x v="2"/>
    <x v="5"/>
    <s v="Spirits"/>
    <n v="70036"/>
    <n v="589481"/>
    <n v="11.88"/>
  </r>
  <r>
    <x v="1"/>
    <x v="2"/>
    <x v="5"/>
    <s v="Spirits"/>
    <n v="168156"/>
    <n v="2476087"/>
    <n v="6.79"/>
  </r>
  <r>
    <x v="2"/>
    <x v="2"/>
    <x v="5"/>
    <s v="Spirits"/>
    <n v="599731"/>
    <n v="4789291"/>
    <n v="12.52"/>
  </r>
  <r>
    <x v="3"/>
    <x v="2"/>
    <x v="5"/>
    <s v="Spirits"/>
    <n v="283207"/>
    <n v="3019188"/>
    <n v="9.3800000000000008"/>
  </r>
  <r>
    <x v="4"/>
    <x v="2"/>
    <x v="5"/>
    <s v="Spirits"/>
    <n v="1857997"/>
    <n v="18207522"/>
    <n v="10.199999999999999"/>
  </r>
  <r>
    <x v="5"/>
    <x v="2"/>
    <x v="5"/>
    <s v="Spirits"/>
    <n v="963302"/>
    <n v="10512479"/>
    <n v="9.16"/>
  </r>
  <r>
    <x v="6"/>
    <x v="2"/>
    <x v="5"/>
    <s v="Spirits"/>
    <n v="183597"/>
    <n v="2371396"/>
    <n v="7.74"/>
  </r>
  <r>
    <x v="7"/>
    <x v="2"/>
    <x v="5"/>
    <s v="Spirits"/>
    <n v="270670"/>
    <n v="3691561"/>
    <n v="7.33"/>
  </r>
  <r>
    <x v="8"/>
    <x v="2"/>
    <x v="5"/>
    <s v="Spirits"/>
    <n v="319012"/>
    <n v="3799736"/>
    <n v="8.4"/>
  </r>
  <r>
    <x v="9"/>
    <x v="2"/>
    <x v="5"/>
    <s v="Spirits"/>
    <n v="706893"/>
    <n v="5862386"/>
    <n v="12.06"/>
  </r>
  <r>
    <x v="10"/>
    <x v="2"/>
    <x v="5"/>
    <s v="Spirits"/>
    <n v="515320"/>
    <n v="5077875"/>
    <n v="10.15"/>
  </r>
  <r>
    <x v="11"/>
    <x v="2"/>
    <x v="5"/>
    <s v="Spirits"/>
    <n v="81812"/>
    <n v="617880"/>
    <n v="13.24"/>
  </r>
  <r>
    <x v="12"/>
    <x v="2"/>
    <x v="5"/>
    <s v="Spirits"/>
    <n v="1601362"/>
    <n v="23257363"/>
    <n v="6.89"/>
  </r>
  <r>
    <x v="13"/>
    <x v="2"/>
    <x v="5"/>
    <s v="Spirits"/>
    <n v="419800"/>
    <n v="7094962"/>
    <n v="5.92"/>
  </r>
  <r>
    <x v="14"/>
    <x v="2"/>
    <x v="5"/>
    <s v="Spirits"/>
    <n v="596975"/>
    <n v="4851640"/>
    <n v="12.3"/>
  </r>
  <r>
    <x v="0"/>
    <x v="2"/>
    <x v="5"/>
    <s v="Wine"/>
    <n v="31062"/>
    <n v="589481"/>
    <n v="5.27"/>
  </r>
  <r>
    <x v="1"/>
    <x v="2"/>
    <x v="5"/>
    <s v="Wine"/>
    <n v="53494"/>
    <n v="2476087"/>
    <n v="2.16"/>
  </r>
  <r>
    <x v="2"/>
    <x v="2"/>
    <x v="5"/>
    <s v="Wine"/>
    <n v="198273"/>
    <n v="4789291"/>
    <n v="4.1399999999999997"/>
  </r>
  <r>
    <x v="3"/>
    <x v="2"/>
    <x v="5"/>
    <s v="Wine"/>
    <n v="153029"/>
    <n v="3019188"/>
    <n v="5.07"/>
  </r>
  <r>
    <x v="4"/>
    <x v="2"/>
    <x v="5"/>
    <s v="Wine"/>
    <n v="679827"/>
    <n v="18207522"/>
    <n v="3.73"/>
  </r>
  <r>
    <x v="5"/>
    <x v="2"/>
    <x v="5"/>
    <s v="Wine"/>
    <n v="430018"/>
    <n v="10512479"/>
    <n v="4.09"/>
  </r>
  <r>
    <x v="7"/>
    <x v="2"/>
    <x v="5"/>
    <s v="Wine"/>
    <n v="67636"/>
    <n v="3691561"/>
    <n v="1.83"/>
  </r>
  <r>
    <x v="8"/>
    <x v="2"/>
    <x v="5"/>
    <s v="Wine"/>
    <n v="94542"/>
    <n v="3799736"/>
    <n v="2.4900000000000002"/>
  </r>
  <r>
    <x v="9"/>
    <x v="2"/>
    <x v="5"/>
    <s v="Wine"/>
    <n v="387174"/>
    <n v="5862386"/>
    <n v="6.6"/>
  </r>
  <r>
    <x v="10"/>
    <x v="2"/>
    <x v="5"/>
    <s v="Wine"/>
    <n v="152925"/>
    <n v="5077875"/>
    <n v="3.01"/>
  </r>
  <r>
    <x v="11"/>
    <x v="2"/>
    <x v="5"/>
    <s v="Wine"/>
    <n v="15537"/>
    <n v="617880"/>
    <n v="2.5099999999999998"/>
  </r>
  <r>
    <x v="15"/>
    <x v="2"/>
    <x v="5"/>
    <s v="Wine"/>
    <n v="105953"/>
    <n v="3547474"/>
    <n v="2.99"/>
  </r>
  <r>
    <x v="12"/>
    <x v="2"/>
    <x v="5"/>
    <s v="Wine"/>
    <n v="658975"/>
    <n v="23257363"/>
    <n v="2.83"/>
  </r>
  <r>
    <x v="13"/>
    <x v="2"/>
    <x v="5"/>
    <s v="Wine"/>
    <n v="267297"/>
    <n v="7094962"/>
    <n v="3.77"/>
  </r>
  <r>
    <x v="14"/>
    <x v="2"/>
    <x v="5"/>
    <s v="Wine"/>
    <n v="165393"/>
    <n v="4851640"/>
    <n v="3.41"/>
  </r>
  <r>
    <x v="0"/>
    <x v="2"/>
    <x v="5"/>
    <s v="Beer"/>
    <n v="67704"/>
    <n v="589481"/>
    <n v="11.49"/>
  </r>
  <r>
    <x v="1"/>
    <x v="2"/>
    <x v="5"/>
    <s v="Beer"/>
    <n v="221077"/>
    <n v="2476087"/>
    <n v="8.93"/>
  </r>
  <r>
    <x v="2"/>
    <x v="2"/>
    <x v="5"/>
    <s v="Beer"/>
    <n v="525699"/>
    <n v="4789291"/>
    <n v="10.98"/>
  </r>
  <r>
    <x v="3"/>
    <x v="2"/>
    <x v="5"/>
    <s v="Beer"/>
    <n v="227248"/>
    <n v="3019188"/>
    <n v="7.53"/>
  </r>
  <r>
    <x v="4"/>
    <x v="2"/>
    <x v="5"/>
    <s v="Beer"/>
    <n v="1566999"/>
    <n v="18207522"/>
    <n v="8.61"/>
  </r>
  <r>
    <x v="5"/>
    <x v="2"/>
    <x v="5"/>
    <s v="Beer"/>
    <n v="1059736"/>
    <n v="10512479"/>
    <n v="10.08"/>
  </r>
  <r>
    <x v="6"/>
    <x v="2"/>
    <x v="5"/>
    <s v="Beer"/>
    <n v="231590"/>
    <n v="2371396"/>
    <n v="9.77"/>
  </r>
  <r>
    <x v="7"/>
    <x v="2"/>
    <x v="5"/>
    <s v="Beer"/>
    <n v="238009"/>
    <n v="3691561"/>
    <n v="6.45"/>
  </r>
  <r>
    <x v="9"/>
    <x v="2"/>
    <x v="5"/>
    <s v="Beer"/>
    <n v="510718"/>
    <n v="5862386"/>
    <n v="8.7100000000000009"/>
  </r>
  <r>
    <x v="10"/>
    <x v="2"/>
    <x v="5"/>
    <s v="Beer"/>
    <n v="497443"/>
    <n v="5077875"/>
    <n v="9.8000000000000007"/>
  </r>
  <r>
    <x v="11"/>
    <x v="2"/>
    <x v="5"/>
    <s v="Beer"/>
    <n v="93533"/>
    <n v="617880"/>
    <n v="15.14"/>
  </r>
  <r>
    <x v="15"/>
    <x v="2"/>
    <x v="5"/>
    <s v="Beer"/>
    <n v="394097"/>
    <n v="3547474"/>
    <n v="11.11"/>
  </r>
  <r>
    <x v="12"/>
    <x v="2"/>
    <x v="5"/>
    <s v="Beer"/>
    <n v="2698772"/>
    <n v="23257363"/>
    <n v="11.6"/>
  </r>
  <r>
    <x v="13"/>
    <x v="2"/>
    <x v="5"/>
    <s v="Beer"/>
    <n v="590770"/>
    <n v="7094962"/>
    <n v="8.33"/>
  </r>
  <r>
    <x v="0"/>
    <x v="2"/>
    <x v="6"/>
    <s v="Spirits"/>
    <n v="77748"/>
    <n v="589481"/>
    <n v="13.19"/>
  </r>
  <r>
    <x v="1"/>
    <x v="2"/>
    <x v="6"/>
    <s v="Spirits"/>
    <n v="129611"/>
    <n v="2476087"/>
    <n v="5.23"/>
  </r>
  <r>
    <x v="2"/>
    <x v="2"/>
    <x v="6"/>
    <s v="Spirits"/>
    <n v="470020"/>
    <n v="4789291"/>
    <n v="9.81"/>
  </r>
  <r>
    <x v="3"/>
    <x v="2"/>
    <x v="6"/>
    <s v="Spirits"/>
    <n v="272957"/>
    <n v="3019188"/>
    <n v="9.0399999999999991"/>
  </r>
  <r>
    <x v="4"/>
    <x v="2"/>
    <x v="6"/>
    <s v="Spirits"/>
    <n v="1348207"/>
    <n v="18207522"/>
    <n v="7.4"/>
  </r>
  <r>
    <x v="5"/>
    <x v="2"/>
    <x v="6"/>
    <s v="Spirits"/>
    <n v="651884"/>
    <n v="10512479"/>
    <n v="6.2"/>
  </r>
  <r>
    <x v="6"/>
    <x v="2"/>
    <x v="6"/>
    <s v="Spirits"/>
    <n v="130942"/>
    <n v="2371396"/>
    <n v="5.52"/>
  </r>
  <r>
    <x v="7"/>
    <x v="2"/>
    <x v="6"/>
    <s v="Spirits"/>
    <n v="315789"/>
    <n v="3691561"/>
    <n v="8.5500000000000007"/>
  </r>
  <r>
    <x v="8"/>
    <x v="2"/>
    <x v="6"/>
    <s v="Spirits"/>
    <n v="312172"/>
    <n v="3799736"/>
    <n v="8.2200000000000006"/>
  </r>
  <r>
    <x v="9"/>
    <x v="2"/>
    <x v="6"/>
    <s v="Spirits"/>
    <n v="437669"/>
    <n v="5862386"/>
    <n v="7.47"/>
  </r>
  <r>
    <x v="10"/>
    <x v="2"/>
    <x v="6"/>
    <s v="Spirits"/>
    <n v="444657"/>
    <n v="5077875"/>
    <n v="8.76"/>
  </r>
  <r>
    <x v="11"/>
    <x v="2"/>
    <x v="6"/>
    <s v="Spirits"/>
    <n v="71335"/>
    <n v="617880"/>
    <n v="11.55"/>
  </r>
  <r>
    <x v="12"/>
    <x v="2"/>
    <x v="6"/>
    <s v="Spirits"/>
    <n v="1322515"/>
    <n v="23257363"/>
    <n v="5.69"/>
  </r>
  <r>
    <x v="13"/>
    <x v="2"/>
    <x v="6"/>
    <s v="Spirits"/>
    <n v="423424"/>
    <n v="7094962"/>
    <n v="5.97"/>
  </r>
  <r>
    <x v="14"/>
    <x v="2"/>
    <x v="6"/>
    <s v="Spirits"/>
    <n v="643755"/>
    <n v="4851640"/>
    <n v="13.27"/>
  </r>
  <r>
    <x v="0"/>
    <x v="2"/>
    <x v="6"/>
    <s v="Wine"/>
    <n v="31969"/>
    <n v="589481"/>
    <n v="5.42"/>
  </r>
  <r>
    <x v="1"/>
    <x v="2"/>
    <x v="6"/>
    <s v="Wine"/>
    <n v="49012"/>
    <n v="2476087"/>
    <n v="1.98"/>
  </r>
  <r>
    <x v="2"/>
    <x v="2"/>
    <x v="6"/>
    <s v="Wine"/>
    <n v="202375"/>
    <n v="4789291"/>
    <n v="4.2300000000000004"/>
  </r>
  <r>
    <x v="3"/>
    <x v="2"/>
    <x v="6"/>
    <s v="Wine"/>
    <n v="143362"/>
    <n v="3019188"/>
    <n v="4.75"/>
  </r>
  <r>
    <x v="4"/>
    <x v="2"/>
    <x v="6"/>
    <s v="Wine"/>
    <n v="642137"/>
    <n v="18207522"/>
    <n v="3.53"/>
  </r>
  <r>
    <x v="5"/>
    <x v="2"/>
    <x v="6"/>
    <s v="Wine"/>
    <n v="371423"/>
    <n v="10512479"/>
    <n v="3.53"/>
  </r>
  <r>
    <x v="7"/>
    <x v="2"/>
    <x v="6"/>
    <s v="Wine"/>
    <n v="72031"/>
    <n v="3691561"/>
    <n v="1.95"/>
  </r>
  <r>
    <x v="8"/>
    <x v="2"/>
    <x v="6"/>
    <s v="Wine"/>
    <n v="101885"/>
    <n v="3799736"/>
    <n v="2.68"/>
  </r>
  <r>
    <x v="9"/>
    <x v="2"/>
    <x v="6"/>
    <s v="Wine"/>
    <n v="249332"/>
    <n v="5862386"/>
    <n v="4.25"/>
  </r>
  <r>
    <x v="10"/>
    <x v="2"/>
    <x v="6"/>
    <s v="Wine"/>
    <n v="138636"/>
    <n v="5077875"/>
    <n v="2.73"/>
  </r>
  <r>
    <x v="11"/>
    <x v="2"/>
    <x v="6"/>
    <s v="Wine"/>
    <n v="15007"/>
    <n v="617880"/>
    <n v="2.4300000000000002"/>
  </r>
  <r>
    <x v="15"/>
    <x v="2"/>
    <x v="6"/>
    <s v="Wine"/>
    <n v="193244"/>
    <n v="3547474"/>
    <n v="5.45"/>
  </r>
  <r>
    <x v="12"/>
    <x v="2"/>
    <x v="6"/>
    <s v="Wine"/>
    <n v="628923"/>
    <n v="23257363"/>
    <n v="2.7"/>
  </r>
  <r>
    <x v="13"/>
    <x v="2"/>
    <x v="6"/>
    <s v="Wine"/>
    <n v="281795"/>
    <n v="7094962"/>
    <n v="3.97"/>
  </r>
  <r>
    <x v="14"/>
    <x v="2"/>
    <x v="6"/>
    <s v="Wine"/>
    <n v="168503"/>
    <n v="4851640"/>
    <n v="3.47"/>
  </r>
  <r>
    <x v="0"/>
    <x v="2"/>
    <x v="6"/>
    <s v="Beer"/>
    <n v="76791"/>
    <n v="589481"/>
    <n v="13.03"/>
  </r>
  <r>
    <x v="1"/>
    <x v="2"/>
    <x v="6"/>
    <s v="Beer"/>
    <n v="190735"/>
    <n v="2476087"/>
    <n v="7.7"/>
  </r>
  <r>
    <x v="2"/>
    <x v="2"/>
    <x v="6"/>
    <s v="Beer"/>
    <n v="539510"/>
    <n v="4789291"/>
    <n v="11.26"/>
  </r>
  <r>
    <x v="3"/>
    <x v="2"/>
    <x v="6"/>
    <s v="Beer"/>
    <n v="252228"/>
    <n v="3019188"/>
    <n v="8.35"/>
  </r>
  <r>
    <x v="4"/>
    <x v="2"/>
    <x v="6"/>
    <s v="Beer"/>
    <n v="1611943"/>
    <n v="18207522"/>
    <n v="8.85"/>
  </r>
  <r>
    <x v="5"/>
    <x v="2"/>
    <x v="6"/>
    <s v="Beer"/>
    <n v="1127111"/>
    <n v="10512479"/>
    <n v="10.72"/>
  </r>
  <r>
    <x v="6"/>
    <x v="2"/>
    <x v="6"/>
    <s v="Beer"/>
    <n v="226334"/>
    <n v="2371396"/>
    <n v="9.5399999999999991"/>
  </r>
  <r>
    <x v="7"/>
    <x v="2"/>
    <x v="6"/>
    <s v="Beer"/>
    <n v="372029"/>
    <n v="3691561"/>
    <n v="10.08"/>
  </r>
  <r>
    <x v="9"/>
    <x v="2"/>
    <x v="6"/>
    <s v="Beer"/>
    <n v="541016"/>
    <n v="5862386"/>
    <n v="9.23"/>
  </r>
  <r>
    <x v="10"/>
    <x v="2"/>
    <x v="6"/>
    <s v="Beer"/>
    <n v="488277"/>
    <n v="5077875"/>
    <n v="9.6199999999999992"/>
  </r>
  <r>
    <x v="11"/>
    <x v="2"/>
    <x v="6"/>
    <s v="Beer"/>
    <n v="93470"/>
    <n v="617880"/>
    <n v="15.13"/>
  </r>
  <r>
    <x v="15"/>
    <x v="2"/>
    <x v="6"/>
    <s v="Beer"/>
    <n v="403963"/>
    <n v="3547474"/>
    <n v="11.39"/>
  </r>
  <r>
    <x v="12"/>
    <x v="2"/>
    <x v="6"/>
    <s v="Beer"/>
    <n v="2467091"/>
    <n v="23257363"/>
    <n v="10.61"/>
  </r>
  <r>
    <x v="13"/>
    <x v="2"/>
    <x v="6"/>
    <s v="Beer"/>
    <n v="636358"/>
    <n v="7094962"/>
    <n v="8.9700000000000006"/>
  </r>
  <r>
    <x v="0"/>
    <x v="2"/>
    <x v="7"/>
    <s v="Spirits"/>
    <n v="70082"/>
    <n v="589481"/>
    <n v="11.89"/>
  </r>
  <r>
    <x v="1"/>
    <x v="2"/>
    <x v="7"/>
    <s v="Spirits"/>
    <n v="121852"/>
    <n v="2476087"/>
    <n v="4.92"/>
  </r>
  <r>
    <x v="2"/>
    <x v="2"/>
    <x v="7"/>
    <s v="Spirits"/>
    <n v="517531"/>
    <n v="4789291"/>
    <n v="10.81"/>
  </r>
  <r>
    <x v="3"/>
    <x v="2"/>
    <x v="7"/>
    <s v="Spirits"/>
    <n v="237043"/>
    <n v="3019188"/>
    <n v="7.85"/>
  </r>
  <r>
    <x v="4"/>
    <x v="2"/>
    <x v="7"/>
    <s v="Spirits"/>
    <n v="1430736"/>
    <n v="18207522"/>
    <n v="7.86"/>
  </r>
  <r>
    <x v="5"/>
    <x v="2"/>
    <x v="7"/>
    <s v="Spirits"/>
    <n v="746568"/>
    <n v="10512479"/>
    <n v="7.1"/>
  </r>
  <r>
    <x v="6"/>
    <x v="2"/>
    <x v="7"/>
    <s v="Spirits"/>
    <n v="139860"/>
    <n v="2371396"/>
    <n v="5.9"/>
  </r>
  <r>
    <x v="7"/>
    <x v="2"/>
    <x v="7"/>
    <s v="Spirits"/>
    <n v="254144"/>
    <n v="3691561"/>
    <n v="6.88"/>
  </r>
  <r>
    <x v="8"/>
    <x v="2"/>
    <x v="7"/>
    <s v="Spirits"/>
    <n v="323877"/>
    <n v="3799736"/>
    <n v="8.52"/>
  </r>
  <r>
    <x v="9"/>
    <x v="2"/>
    <x v="7"/>
    <s v="Spirits"/>
    <n v="505767"/>
    <n v="5862386"/>
    <n v="8.6300000000000008"/>
  </r>
  <r>
    <x v="10"/>
    <x v="2"/>
    <x v="7"/>
    <s v="Spirits"/>
    <n v="419282"/>
    <n v="5077875"/>
    <n v="8.26"/>
  </r>
  <r>
    <x v="11"/>
    <x v="2"/>
    <x v="7"/>
    <s v="Spirits"/>
    <n v="72506"/>
    <n v="617880"/>
    <n v="11.73"/>
  </r>
  <r>
    <x v="12"/>
    <x v="2"/>
    <x v="7"/>
    <s v="Spirits"/>
    <n v="1510820"/>
    <n v="23257363"/>
    <n v="6.5"/>
  </r>
  <r>
    <x v="13"/>
    <x v="2"/>
    <x v="7"/>
    <s v="Spirits"/>
    <n v="438959"/>
    <n v="7094962"/>
    <n v="6.19"/>
  </r>
  <r>
    <x v="14"/>
    <x v="2"/>
    <x v="7"/>
    <s v="Spirits"/>
    <n v="469790"/>
    <n v="4851640"/>
    <n v="9.68"/>
  </r>
  <r>
    <x v="0"/>
    <x v="2"/>
    <x v="7"/>
    <s v="Wine"/>
    <n v="31219"/>
    <n v="589481"/>
    <n v="5.3"/>
  </r>
  <r>
    <x v="1"/>
    <x v="2"/>
    <x v="7"/>
    <s v="Wine"/>
    <n v="42551"/>
    <n v="2476087"/>
    <n v="1.72"/>
  </r>
  <r>
    <x v="2"/>
    <x v="2"/>
    <x v="7"/>
    <s v="Wine"/>
    <n v="198557"/>
    <n v="4789291"/>
    <n v="4.1500000000000004"/>
  </r>
  <r>
    <x v="3"/>
    <x v="2"/>
    <x v="7"/>
    <s v="Wine"/>
    <n v="132489"/>
    <n v="3019188"/>
    <n v="4.3899999999999997"/>
  </r>
  <r>
    <x v="4"/>
    <x v="2"/>
    <x v="7"/>
    <s v="Wine"/>
    <n v="703094"/>
    <n v="18207522"/>
    <n v="3.86"/>
  </r>
  <r>
    <x v="5"/>
    <x v="2"/>
    <x v="7"/>
    <s v="Wine"/>
    <n v="385740"/>
    <n v="10512479"/>
    <n v="3.67"/>
  </r>
  <r>
    <x v="7"/>
    <x v="2"/>
    <x v="7"/>
    <s v="Wine"/>
    <n v="53377"/>
    <n v="3691561"/>
    <n v="1.45"/>
  </r>
  <r>
    <x v="8"/>
    <x v="2"/>
    <x v="7"/>
    <s v="Wine"/>
    <n v="103076"/>
    <n v="3799736"/>
    <n v="2.71"/>
  </r>
  <r>
    <x v="9"/>
    <x v="2"/>
    <x v="7"/>
    <s v="Wine"/>
    <n v="292933"/>
    <n v="5862386"/>
    <n v="5"/>
  </r>
  <r>
    <x v="10"/>
    <x v="2"/>
    <x v="7"/>
    <s v="Wine"/>
    <n v="142792"/>
    <n v="5077875"/>
    <n v="2.81"/>
  </r>
  <r>
    <x v="11"/>
    <x v="2"/>
    <x v="7"/>
    <s v="Wine"/>
    <n v="14120"/>
    <n v="617880"/>
    <n v="2.29"/>
  </r>
  <r>
    <x v="15"/>
    <x v="2"/>
    <x v="7"/>
    <s v="Wine"/>
    <n v="197369"/>
    <n v="3547474"/>
    <n v="5.56"/>
  </r>
  <r>
    <x v="12"/>
    <x v="2"/>
    <x v="7"/>
    <s v="Wine"/>
    <n v="626910"/>
    <n v="23257363"/>
    <n v="2.7"/>
  </r>
  <r>
    <x v="13"/>
    <x v="2"/>
    <x v="7"/>
    <s v="Wine"/>
    <n v="286405"/>
    <n v="7094962"/>
    <n v="4.04"/>
  </r>
  <r>
    <x v="14"/>
    <x v="2"/>
    <x v="7"/>
    <s v="Wine"/>
    <n v="174252"/>
    <n v="4851640"/>
    <n v="3.59"/>
  </r>
  <r>
    <x v="0"/>
    <x v="2"/>
    <x v="7"/>
    <s v="Beer"/>
    <n v="70539"/>
    <n v="589481"/>
    <n v="11.97"/>
  </r>
  <r>
    <x v="1"/>
    <x v="2"/>
    <x v="7"/>
    <s v="Beer"/>
    <n v="197197"/>
    <n v="2476087"/>
    <n v="7.96"/>
  </r>
  <r>
    <x v="2"/>
    <x v="2"/>
    <x v="7"/>
    <s v="Beer"/>
    <n v="566168"/>
    <n v="4789291"/>
    <n v="11.82"/>
  </r>
  <r>
    <x v="3"/>
    <x v="2"/>
    <x v="7"/>
    <s v="Beer"/>
    <n v="241012"/>
    <n v="3019188"/>
    <n v="7.98"/>
  </r>
  <r>
    <x v="4"/>
    <x v="2"/>
    <x v="7"/>
    <s v="Beer"/>
    <n v="1693331"/>
    <n v="18207522"/>
    <n v="9.3000000000000007"/>
  </r>
  <r>
    <x v="5"/>
    <x v="2"/>
    <x v="7"/>
    <s v="Beer"/>
    <n v="1158183"/>
    <n v="10512479"/>
    <n v="11.02"/>
  </r>
  <r>
    <x v="6"/>
    <x v="2"/>
    <x v="7"/>
    <s v="Beer"/>
    <n v="223648"/>
    <n v="2371396"/>
    <n v="9.43"/>
  </r>
  <r>
    <x v="7"/>
    <x v="2"/>
    <x v="7"/>
    <s v="Beer"/>
    <n v="310418"/>
    <n v="3691561"/>
    <n v="8.41"/>
  </r>
  <r>
    <x v="9"/>
    <x v="2"/>
    <x v="7"/>
    <s v="Beer"/>
    <n v="544983"/>
    <n v="5862386"/>
    <n v="9.3000000000000007"/>
  </r>
  <r>
    <x v="10"/>
    <x v="2"/>
    <x v="7"/>
    <s v="Beer"/>
    <n v="514321"/>
    <n v="5077875"/>
    <n v="10.130000000000001"/>
  </r>
  <r>
    <x v="11"/>
    <x v="2"/>
    <x v="7"/>
    <s v="Beer"/>
    <n v="81456"/>
    <n v="617880"/>
    <n v="13.18"/>
  </r>
  <r>
    <x v="15"/>
    <x v="2"/>
    <x v="7"/>
    <s v="Beer"/>
    <n v="323527"/>
    <n v="3547474"/>
    <n v="9.1199999999999992"/>
  </r>
  <r>
    <x v="12"/>
    <x v="2"/>
    <x v="7"/>
    <s v="Beer"/>
    <n v="2560469"/>
    <n v="23257363"/>
    <n v="11.01"/>
  </r>
  <r>
    <x v="13"/>
    <x v="2"/>
    <x v="7"/>
    <s v="Beer"/>
    <n v="644758"/>
    <n v="7094962"/>
    <n v="9.09"/>
  </r>
  <r>
    <x v="0"/>
    <x v="2"/>
    <x v="8"/>
    <s v="Spirits"/>
    <n v="59096"/>
    <n v="589481"/>
    <n v="10.029999999999999"/>
  </r>
  <r>
    <x v="1"/>
    <x v="2"/>
    <x v="8"/>
    <s v="Spirits"/>
    <n v="127033"/>
    <n v="2476087"/>
    <n v="5.13"/>
  </r>
  <r>
    <x v="2"/>
    <x v="2"/>
    <x v="8"/>
    <s v="Spirits"/>
    <n v="454443"/>
    <n v="4789291"/>
    <n v="9.49"/>
  </r>
  <r>
    <x v="3"/>
    <x v="2"/>
    <x v="8"/>
    <s v="Spirits"/>
    <n v="257197"/>
    <n v="3019188"/>
    <n v="8.52"/>
  </r>
  <r>
    <x v="4"/>
    <x v="2"/>
    <x v="8"/>
    <s v="Spirits"/>
    <n v="1343622"/>
    <n v="18207522"/>
    <n v="7.38"/>
  </r>
  <r>
    <x v="5"/>
    <x v="2"/>
    <x v="8"/>
    <s v="Spirits"/>
    <n v="723677"/>
    <n v="10512479"/>
    <n v="6.88"/>
  </r>
  <r>
    <x v="6"/>
    <x v="2"/>
    <x v="8"/>
    <s v="Spirits"/>
    <n v="149008"/>
    <n v="2371396"/>
    <n v="6.28"/>
  </r>
  <r>
    <x v="7"/>
    <x v="2"/>
    <x v="8"/>
    <s v="Spirits"/>
    <n v="141255"/>
    <n v="3691561"/>
    <n v="3.83"/>
  </r>
  <r>
    <x v="8"/>
    <x v="2"/>
    <x v="8"/>
    <s v="Spirits"/>
    <n v="288178"/>
    <n v="3799736"/>
    <n v="7.58"/>
  </r>
  <r>
    <x v="9"/>
    <x v="2"/>
    <x v="8"/>
    <s v="Spirits"/>
    <n v="460954"/>
    <n v="5862386"/>
    <n v="7.86"/>
  </r>
  <r>
    <x v="10"/>
    <x v="2"/>
    <x v="8"/>
    <s v="Spirits"/>
    <n v="490388"/>
    <n v="5077875"/>
    <n v="9.66"/>
  </r>
  <r>
    <x v="11"/>
    <x v="2"/>
    <x v="8"/>
    <s v="Spirits"/>
    <n v="71351"/>
    <n v="617880"/>
    <n v="11.55"/>
  </r>
  <r>
    <x v="12"/>
    <x v="2"/>
    <x v="8"/>
    <s v="Spirits"/>
    <n v="1316911"/>
    <n v="23257363"/>
    <n v="5.66"/>
  </r>
  <r>
    <x v="13"/>
    <x v="2"/>
    <x v="8"/>
    <s v="Spirits"/>
    <n v="392687"/>
    <n v="7094962"/>
    <n v="5.53"/>
  </r>
  <r>
    <x v="14"/>
    <x v="2"/>
    <x v="8"/>
    <s v="Spirits"/>
    <n v="493355"/>
    <n v="4851640"/>
    <n v="10.17"/>
  </r>
  <r>
    <x v="0"/>
    <x v="2"/>
    <x v="8"/>
    <s v="Wine"/>
    <n v="23588"/>
    <n v="589481"/>
    <n v="4"/>
  </r>
  <r>
    <x v="1"/>
    <x v="2"/>
    <x v="8"/>
    <s v="Wine"/>
    <n v="41187"/>
    <n v="2476087"/>
    <n v="1.66"/>
  </r>
  <r>
    <x v="2"/>
    <x v="2"/>
    <x v="8"/>
    <s v="Wine"/>
    <n v="171493"/>
    <n v="4789291"/>
    <n v="3.58"/>
  </r>
  <r>
    <x v="3"/>
    <x v="2"/>
    <x v="8"/>
    <s v="Wine"/>
    <n v="122302"/>
    <n v="3019188"/>
    <n v="4.05"/>
  </r>
  <r>
    <x v="4"/>
    <x v="2"/>
    <x v="8"/>
    <s v="Wine"/>
    <n v="616981"/>
    <n v="18207522"/>
    <n v="3.39"/>
  </r>
  <r>
    <x v="5"/>
    <x v="2"/>
    <x v="8"/>
    <s v="Wine"/>
    <n v="363524"/>
    <n v="10512479"/>
    <n v="3.46"/>
  </r>
  <r>
    <x v="7"/>
    <x v="2"/>
    <x v="8"/>
    <s v="Wine"/>
    <n v="42904"/>
    <n v="3691561"/>
    <n v="1.1599999999999999"/>
  </r>
  <r>
    <x v="8"/>
    <x v="2"/>
    <x v="8"/>
    <s v="Wine"/>
    <n v="92625"/>
    <n v="3799736"/>
    <n v="2.44"/>
  </r>
  <r>
    <x v="9"/>
    <x v="2"/>
    <x v="8"/>
    <s v="Wine"/>
    <n v="280354"/>
    <n v="5862386"/>
    <n v="4.78"/>
  </r>
  <r>
    <x v="10"/>
    <x v="2"/>
    <x v="8"/>
    <s v="Wine"/>
    <n v="146296"/>
    <n v="5077875"/>
    <n v="2.88"/>
  </r>
  <r>
    <x v="11"/>
    <x v="2"/>
    <x v="8"/>
    <s v="Wine"/>
    <n v="14273"/>
    <n v="617880"/>
    <n v="2.31"/>
  </r>
  <r>
    <x v="15"/>
    <x v="2"/>
    <x v="8"/>
    <s v="Wine"/>
    <n v="180984"/>
    <n v="3547474"/>
    <n v="5.0999999999999996"/>
  </r>
  <r>
    <x v="12"/>
    <x v="2"/>
    <x v="8"/>
    <s v="Wine"/>
    <n v="643566"/>
    <n v="23257363"/>
    <n v="2.77"/>
  </r>
  <r>
    <x v="13"/>
    <x v="2"/>
    <x v="8"/>
    <s v="Wine"/>
    <n v="267308"/>
    <n v="7094962"/>
    <n v="3.77"/>
  </r>
  <r>
    <x v="14"/>
    <x v="2"/>
    <x v="8"/>
    <s v="Wine"/>
    <n v="152114"/>
    <n v="4851640"/>
    <n v="3.14"/>
  </r>
  <r>
    <x v="0"/>
    <x v="2"/>
    <x v="8"/>
    <s v="Beer"/>
    <n v="47988"/>
    <n v="589481"/>
    <n v="8.14"/>
  </r>
  <r>
    <x v="1"/>
    <x v="2"/>
    <x v="8"/>
    <s v="Beer"/>
    <n v="199458"/>
    <n v="2476087"/>
    <n v="8.06"/>
  </r>
  <r>
    <x v="2"/>
    <x v="2"/>
    <x v="8"/>
    <s v="Beer"/>
    <n v="475862"/>
    <n v="4789291"/>
    <n v="9.94"/>
  </r>
  <r>
    <x v="3"/>
    <x v="2"/>
    <x v="8"/>
    <s v="Beer"/>
    <n v="188063"/>
    <n v="3019188"/>
    <n v="6.23"/>
  </r>
  <r>
    <x v="4"/>
    <x v="2"/>
    <x v="8"/>
    <s v="Beer"/>
    <n v="1355827"/>
    <n v="18207522"/>
    <n v="7.45"/>
  </r>
  <r>
    <x v="5"/>
    <x v="2"/>
    <x v="8"/>
    <s v="Beer"/>
    <n v="886170"/>
    <n v="10512479"/>
    <n v="8.43"/>
  </r>
  <r>
    <x v="6"/>
    <x v="2"/>
    <x v="8"/>
    <s v="Beer"/>
    <n v="249469"/>
    <n v="2371396"/>
    <n v="10.52"/>
  </r>
  <r>
    <x v="7"/>
    <x v="2"/>
    <x v="8"/>
    <s v="Beer"/>
    <n v="218540"/>
    <n v="3691561"/>
    <n v="5.92"/>
  </r>
  <r>
    <x v="9"/>
    <x v="2"/>
    <x v="8"/>
    <s v="Beer"/>
    <n v="412770"/>
    <n v="5862386"/>
    <n v="7.04"/>
  </r>
  <r>
    <x v="10"/>
    <x v="2"/>
    <x v="8"/>
    <s v="Beer"/>
    <n v="467291"/>
    <n v="5077875"/>
    <n v="9.1999999999999993"/>
  </r>
  <r>
    <x v="11"/>
    <x v="2"/>
    <x v="8"/>
    <s v="Beer"/>
    <n v="71753"/>
    <n v="617880"/>
    <n v="11.61"/>
  </r>
  <r>
    <x v="15"/>
    <x v="2"/>
    <x v="8"/>
    <s v="Beer"/>
    <n v="432152"/>
    <n v="3547474"/>
    <n v="12.18"/>
  </r>
  <r>
    <x v="12"/>
    <x v="2"/>
    <x v="8"/>
    <s v="Beer"/>
    <n v="2693362"/>
    <n v="23257363"/>
    <n v="11.58"/>
  </r>
  <r>
    <x v="13"/>
    <x v="2"/>
    <x v="8"/>
    <s v="Beer"/>
    <n v="547184"/>
    <n v="7094962"/>
    <n v="7.71"/>
  </r>
  <r>
    <x v="0"/>
    <x v="2"/>
    <x v="9"/>
    <s v="Spirits"/>
    <n v="62185"/>
    <n v="589481"/>
    <n v="10.55"/>
  </r>
  <r>
    <x v="1"/>
    <x v="2"/>
    <x v="9"/>
    <s v="Spirits"/>
    <n v="142600"/>
    <n v="2476087"/>
    <n v="5.76"/>
  </r>
  <r>
    <x v="2"/>
    <x v="2"/>
    <x v="9"/>
    <s v="Spirits"/>
    <n v="520244"/>
    <n v="4789291"/>
    <n v="10.86"/>
  </r>
  <r>
    <x v="3"/>
    <x v="2"/>
    <x v="9"/>
    <s v="Spirits"/>
    <n v="315674"/>
    <n v="3019188"/>
    <n v="10.46"/>
  </r>
  <r>
    <x v="4"/>
    <x v="2"/>
    <x v="9"/>
    <s v="Spirits"/>
    <n v="1807521"/>
    <n v="18207522"/>
    <n v="9.93"/>
  </r>
  <r>
    <x v="5"/>
    <x v="2"/>
    <x v="9"/>
    <s v="Spirits"/>
    <n v="852140"/>
    <n v="10512479"/>
    <n v="8.11"/>
  </r>
  <r>
    <x v="6"/>
    <x v="2"/>
    <x v="9"/>
    <s v="Spirits"/>
    <n v="179878"/>
    <n v="2371396"/>
    <n v="7.59"/>
  </r>
  <r>
    <x v="7"/>
    <x v="2"/>
    <x v="9"/>
    <s v="Spirits"/>
    <n v="394610"/>
    <n v="3691561"/>
    <n v="10.69"/>
  </r>
  <r>
    <x v="8"/>
    <x v="2"/>
    <x v="9"/>
    <s v="Spirits"/>
    <n v="378550"/>
    <n v="3799736"/>
    <n v="9.9600000000000009"/>
  </r>
  <r>
    <x v="9"/>
    <x v="2"/>
    <x v="9"/>
    <s v="Spirits"/>
    <n v="647885"/>
    <n v="5862386"/>
    <n v="11.05"/>
  </r>
  <r>
    <x v="10"/>
    <x v="2"/>
    <x v="9"/>
    <s v="Spirits"/>
    <n v="472996"/>
    <n v="5077875"/>
    <n v="9.31"/>
  </r>
  <r>
    <x v="11"/>
    <x v="2"/>
    <x v="9"/>
    <s v="Spirits"/>
    <n v="76242"/>
    <n v="617880"/>
    <n v="12.34"/>
  </r>
  <r>
    <x v="12"/>
    <x v="2"/>
    <x v="9"/>
    <s v="Spirits"/>
    <n v="1252118"/>
    <n v="23257363"/>
    <n v="5.38"/>
  </r>
  <r>
    <x v="13"/>
    <x v="2"/>
    <x v="9"/>
    <s v="Spirits"/>
    <n v="426412"/>
    <n v="7094962"/>
    <n v="6.01"/>
  </r>
  <r>
    <x v="14"/>
    <x v="2"/>
    <x v="9"/>
    <s v="Spirits"/>
    <n v="579318"/>
    <n v="4851640"/>
    <n v="11.94"/>
  </r>
  <r>
    <x v="0"/>
    <x v="2"/>
    <x v="9"/>
    <s v="Wine"/>
    <n v="24592"/>
    <n v="589481"/>
    <n v="4.17"/>
  </r>
  <r>
    <x v="1"/>
    <x v="2"/>
    <x v="9"/>
    <s v="Wine"/>
    <n v="40566"/>
    <n v="2476087"/>
    <n v="1.64"/>
  </r>
  <r>
    <x v="2"/>
    <x v="2"/>
    <x v="9"/>
    <s v="Wine"/>
    <n v="222357"/>
    <n v="4789291"/>
    <n v="4.6399999999999997"/>
  </r>
  <r>
    <x v="3"/>
    <x v="2"/>
    <x v="9"/>
    <s v="Wine"/>
    <n v="176539"/>
    <n v="3019188"/>
    <n v="5.85"/>
  </r>
  <r>
    <x v="4"/>
    <x v="2"/>
    <x v="9"/>
    <s v="Wine"/>
    <n v="861522"/>
    <n v="18207522"/>
    <n v="4.7300000000000004"/>
  </r>
  <r>
    <x v="5"/>
    <x v="2"/>
    <x v="9"/>
    <s v="Wine"/>
    <n v="466298"/>
    <n v="10512479"/>
    <n v="4.4400000000000004"/>
  </r>
  <r>
    <x v="7"/>
    <x v="2"/>
    <x v="9"/>
    <s v="Wine"/>
    <n v="88101"/>
    <n v="3691561"/>
    <n v="2.39"/>
  </r>
  <r>
    <x v="8"/>
    <x v="2"/>
    <x v="9"/>
    <s v="Wine"/>
    <n v="117680"/>
    <n v="3799736"/>
    <n v="3.1"/>
  </r>
  <r>
    <x v="9"/>
    <x v="2"/>
    <x v="9"/>
    <s v="Wine"/>
    <n v="342389"/>
    <n v="5862386"/>
    <n v="5.84"/>
  </r>
  <r>
    <x v="10"/>
    <x v="2"/>
    <x v="9"/>
    <s v="Wine"/>
    <n v="184148"/>
    <n v="5077875"/>
    <n v="3.63"/>
  </r>
  <r>
    <x v="11"/>
    <x v="2"/>
    <x v="9"/>
    <s v="Wine"/>
    <n v="18255"/>
    <n v="617880"/>
    <n v="2.95"/>
  </r>
  <r>
    <x v="15"/>
    <x v="2"/>
    <x v="9"/>
    <s v="Wine"/>
    <n v="182489"/>
    <n v="3547474"/>
    <n v="5.14"/>
  </r>
  <r>
    <x v="12"/>
    <x v="2"/>
    <x v="9"/>
    <s v="Wine"/>
    <n v="552957"/>
    <n v="23257363"/>
    <n v="2.38"/>
  </r>
  <r>
    <x v="13"/>
    <x v="2"/>
    <x v="9"/>
    <s v="Wine"/>
    <n v="316894"/>
    <n v="7094962"/>
    <n v="4.47"/>
  </r>
  <r>
    <x v="14"/>
    <x v="2"/>
    <x v="9"/>
    <s v="Wine"/>
    <n v="172803"/>
    <n v="4851640"/>
    <n v="3.56"/>
  </r>
  <r>
    <x v="0"/>
    <x v="2"/>
    <x v="9"/>
    <s v="Beer"/>
    <n v="47804"/>
    <n v="589481"/>
    <n v="8.11"/>
  </r>
  <r>
    <x v="1"/>
    <x v="2"/>
    <x v="9"/>
    <s v="Beer"/>
    <n v="205787"/>
    <n v="2476087"/>
    <n v="8.31"/>
  </r>
  <r>
    <x v="2"/>
    <x v="2"/>
    <x v="9"/>
    <s v="Beer"/>
    <n v="466317"/>
    <n v="4789291"/>
    <n v="9.74"/>
  </r>
  <r>
    <x v="3"/>
    <x v="2"/>
    <x v="9"/>
    <s v="Beer"/>
    <n v="195592"/>
    <n v="3019188"/>
    <n v="6.48"/>
  </r>
  <r>
    <x v="4"/>
    <x v="2"/>
    <x v="9"/>
    <s v="Beer"/>
    <n v="1654790"/>
    <n v="18207522"/>
    <n v="9.09"/>
  </r>
  <r>
    <x v="5"/>
    <x v="2"/>
    <x v="9"/>
    <s v="Beer"/>
    <n v="938287"/>
    <n v="10512479"/>
    <n v="8.93"/>
  </r>
  <r>
    <x v="6"/>
    <x v="2"/>
    <x v="9"/>
    <s v="Beer"/>
    <n v="193769"/>
    <n v="2371396"/>
    <n v="8.17"/>
  </r>
  <r>
    <x v="7"/>
    <x v="2"/>
    <x v="9"/>
    <s v="Beer"/>
    <n v="313791"/>
    <n v="3691561"/>
    <n v="8.5"/>
  </r>
  <r>
    <x v="9"/>
    <x v="2"/>
    <x v="9"/>
    <s v="Beer"/>
    <n v="360341"/>
    <n v="5862386"/>
    <n v="6.15"/>
  </r>
  <r>
    <x v="10"/>
    <x v="2"/>
    <x v="9"/>
    <s v="Beer"/>
    <n v="457584"/>
    <n v="5077875"/>
    <n v="9.01"/>
  </r>
  <r>
    <x v="11"/>
    <x v="2"/>
    <x v="9"/>
    <s v="Beer"/>
    <n v="62336"/>
    <n v="617880"/>
    <n v="10.09"/>
  </r>
  <r>
    <x v="15"/>
    <x v="2"/>
    <x v="9"/>
    <s v="Beer"/>
    <n v="337978"/>
    <n v="3547474"/>
    <n v="9.5299999999999994"/>
  </r>
  <r>
    <x v="12"/>
    <x v="2"/>
    <x v="9"/>
    <s v="Beer"/>
    <n v="2209808"/>
    <n v="23257363"/>
    <n v="9.5"/>
  </r>
  <r>
    <x v="13"/>
    <x v="2"/>
    <x v="9"/>
    <s v="Beer"/>
    <n v="586718"/>
    <n v="7094962"/>
    <n v="8.27"/>
  </r>
  <r>
    <x v="0"/>
    <x v="2"/>
    <x v="10"/>
    <s v="Spirits"/>
    <n v="56012"/>
    <n v="589481"/>
    <n v="9.5"/>
  </r>
  <r>
    <x v="1"/>
    <x v="2"/>
    <x v="10"/>
    <s v="Spirits"/>
    <n v="183515"/>
    <n v="2476087"/>
    <n v="7.41"/>
  </r>
  <r>
    <x v="2"/>
    <x v="2"/>
    <x v="10"/>
    <s v="Spirits"/>
    <n v="438208"/>
    <n v="4789291"/>
    <n v="9.15"/>
  </r>
  <r>
    <x v="3"/>
    <x v="2"/>
    <x v="10"/>
    <s v="Spirits"/>
    <n v="297353"/>
    <n v="3019188"/>
    <n v="9.85"/>
  </r>
  <r>
    <x v="4"/>
    <x v="2"/>
    <x v="10"/>
    <s v="Spirits"/>
    <n v="1741210"/>
    <n v="18207522"/>
    <n v="9.56"/>
  </r>
  <r>
    <x v="5"/>
    <x v="2"/>
    <x v="10"/>
    <s v="Spirits"/>
    <n v="787673"/>
    <n v="10512479"/>
    <n v="7.49"/>
  </r>
  <r>
    <x v="6"/>
    <x v="2"/>
    <x v="10"/>
    <s v="Spirits"/>
    <n v="192258"/>
    <n v="2371396"/>
    <n v="8.11"/>
  </r>
  <r>
    <x v="7"/>
    <x v="2"/>
    <x v="10"/>
    <s v="Spirits"/>
    <n v="303697"/>
    <n v="3691561"/>
    <n v="8.23"/>
  </r>
  <r>
    <x v="8"/>
    <x v="2"/>
    <x v="10"/>
    <s v="Spirits"/>
    <n v="345909"/>
    <n v="3799736"/>
    <n v="9.1"/>
  </r>
  <r>
    <x v="9"/>
    <x v="2"/>
    <x v="10"/>
    <s v="Spirits"/>
    <n v="479570"/>
    <n v="5862386"/>
    <n v="8.18"/>
  </r>
  <r>
    <x v="10"/>
    <x v="2"/>
    <x v="10"/>
    <s v="Spirits"/>
    <n v="536684"/>
    <n v="5077875"/>
    <n v="10.57"/>
  </r>
  <r>
    <x v="11"/>
    <x v="2"/>
    <x v="10"/>
    <s v="Spirits"/>
    <n v="62840"/>
    <n v="617880"/>
    <n v="10.17"/>
  </r>
  <r>
    <x v="12"/>
    <x v="2"/>
    <x v="10"/>
    <s v="Spirits"/>
    <n v="1518519"/>
    <n v="23257363"/>
    <n v="6.53"/>
  </r>
  <r>
    <x v="13"/>
    <x v="2"/>
    <x v="10"/>
    <s v="Spirits"/>
    <n v="481326"/>
    <n v="7094962"/>
    <n v="6.78"/>
  </r>
  <r>
    <x v="14"/>
    <x v="2"/>
    <x v="10"/>
    <s v="Spirits"/>
    <n v="605955"/>
    <n v="4851640"/>
    <n v="12.49"/>
  </r>
  <r>
    <x v="0"/>
    <x v="2"/>
    <x v="10"/>
    <s v="Wine"/>
    <n v="25264"/>
    <n v="589481"/>
    <n v="4.29"/>
  </r>
  <r>
    <x v="1"/>
    <x v="2"/>
    <x v="10"/>
    <s v="Wine"/>
    <n v="53608"/>
    <n v="2476087"/>
    <n v="2.17"/>
  </r>
  <r>
    <x v="2"/>
    <x v="2"/>
    <x v="10"/>
    <s v="Wine"/>
    <n v="205497"/>
    <n v="4789291"/>
    <n v="4.29"/>
  </r>
  <r>
    <x v="3"/>
    <x v="2"/>
    <x v="10"/>
    <s v="Wine"/>
    <n v="177342"/>
    <n v="3019188"/>
    <n v="5.87"/>
  </r>
  <r>
    <x v="4"/>
    <x v="2"/>
    <x v="10"/>
    <s v="Wine"/>
    <n v="952212"/>
    <n v="18207522"/>
    <n v="5.23"/>
  </r>
  <r>
    <x v="5"/>
    <x v="2"/>
    <x v="10"/>
    <s v="Wine"/>
    <n v="435762"/>
    <n v="10512479"/>
    <n v="4.1500000000000004"/>
  </r>
  <r>
    <x v="7"/>
    <x v="2"/>
    <x v="10"/>
    <s v="Wine"/>
    <n v="74892"/>
    <n v="3691561"/>
    <n v="2.0299999999999998"/>
  </r>
  <r>
    <x v="8"/>
    <x v="2"/>
    <x v="10"/>
    <s v="Wine"/>
    <n v="121305"/>
    <n v="3799736"/>
    <n v="3.19"/>
  </r>
  <r>
    <x v="9"/>
    <x v="2"/>
    <x v="10"/>
    <s v="Wine"/>
    <n v="312366"/>
    <n v="5862386"/>
    <n v="5.33"/>
  </r>
  <r>
    <x v="10"/>
    <x v="2"/>
    <x v="10"/>
    <s v="Wine"/>
    <n v="167768"/>
    <n v="5077875"/>
    <n v="3.3"/>
  </r>
  <r>
    <x v="11"/>
    <x v="2"/>
    <x v="10"/>
    <s v="Wine"/>
    <n v="21765"/>
    <n v="617880"/>
    <n v="3.52"/>
  </r>
  <r>
    <x v="15"/>
    <x v="2"/>
    <x v="10"/>
    <s v="Wine"/>
    <n v="150200"/>
    <n v="3547474"/>
    <n v="4.2300000000000004"/>
  </r>
  <r>
    <x v="12"/>
    <x v="2"/>
    <x v="10"/>
    <s v="Wine"/>
    <n v="656519"/>
    <n v="23257363"/>
    <n v="2.82"/>
  </r>
  <r>
    <x v="13"/>
    <x v="2"/>
    <x v="10"/>
    <s v="Wine"/>
    <n v="319904"/>
    <n v="7094962"/>
    <n v="4.51"/>
  </r>
  <r>
    <x v="14"/>
    <x v="2"/>
    <x v="10"/>
    <s v="Wine"/>
    <n v="188741"/>
    <n v="4851640"/>
    <n v="3.89"/>
  </r>
  <r>
    <x v="0"/>
    <x v="2"/>
    <x v="10"/>
    <s v="Beer"/>
    <n v="42866"/>
    <n v="589481"/>
    <n v="7.27"/>
  </r>
  <r>
    <x v="1"/>
    <x v="2"/>
    <x v="10"/>
    <s v="Beer"/>
    <n v="192113"/>
    <n v="2476087"/>
    <n v="7.76"/>
  </r>
  <r>
    <x v="2"/>
    <x v="2"/>
    <x v="10"/>
    <s v="Beer"/>
    <n v="419697"/>
    <n v="4789291"/>
    <n v="8.76"/>
  </r>
  <r>
    <x v="3"/>
    <x v="2"/>
    <x v="10"/>
    <s v="Beer"/>
    <n v="183021"/>
    <n v="3019188"/>
    <n v="6.06"/>
  </r>
  <r>
    <x v="4"/>
    <x v="2"/>
    <x v="10"/>
    <s v="Beer"/>
    <n v="1557307"/>
    <n v="18207522"/>
    <n v="8.5500000000000007"/>
  </r>
  <r>
    <x v="5"/>
    <x v="2"/>
    <x v="10"/>
    <s v="Beer"/>
    <n v="859161"/>
    <n v="10512479"/>
    <n v="8.17"/>
  </r>
  <r>
    <x v="6"/>
    <x v="2"/>
    <x v="10"/>
    <s v="Beer"/>
    <n v="201894"/>
    <n v="2371396"/>
    <n v="8.51"/>
  </r>
  <r>
    <x v="7"/>
    <x v="2"/>
    <x v="10"/>
    <s v="Beer"/>
    <n v="350040"/>
    <n v="3691561"/>
    <n v="9.48"/>
  </r>
  <r>
    <x v="9"/>
    <x v="2"/>
    <x v="10"/>
    <s v="Beer"/>
    <n v="383451"/>
    <n v="5862386"/>
    <n v="6.54"/>
  </r>
  <r>
    <x v="10"/>
    <x v="2"/>
    <x v="10"/>
    <s v="Beer"/>
    <n v="420943"/>
    <n v="5077875"/>
    <n v="8.2899999999999991"/>
  </r>
  <r>
    <x v="11"/>
    <x v="2"/>
    <x v="10"/>
    <s v="Beer"/>
    <n v="68253"/>
    <n v="617880"/>
    <n v="11.05"/>
  </r>
  <r>
    <x v="15"/>
    <x v="2"/>
    <x v="10"/>
    <s v="Beer"/>
    <n v="311962"/>
    <n v="3547474"/>
    <n v="8.7899999999999991"/>
  </r>
  <r>
    <x v="12"/>
    <x v="2"/>
    <x v="10"/>
    <s v="Beer"/>
    <n v="2482509"/>
    <n v="23257363"/>
    <n v="10.67"/>
  </r>
  <r>
    <x v="13"/>
    <x v="2"/>
    <x v="10"/>
    <s v="Beer"/>
    <n v="518639"/>
    <n v="7094962"/>
    <n v="7.31"/>
  </r>
  <r>
    <x v="0"/>
    <x v="2"/>
    <x v="11"/>
    <s v="Spirits"/>
    <n v="66386"/>
    <n v="589481"/>
    <n v="11.26"/>
  </r>
  <r>
    <x v="1"/>
    <x v="2"/>
    <x v="11"/>
    <s v="Spirits"/>
    <n v="168261"/>
    <n v="2476087"/>
    <n v="6.8"/>
  </r>
  <r>
    <x v="2"/>
    <x v="2"/>
    <x v="11"/>
    <s v="Spirits"/>
    <n v="484117"/>
    <n v="4789291"/>
    <n v="10.11"/>
  </r>
  <r>
    <x v="3"/>
    <x v="2"/>
    <x v="11"/>
    <s v="Spirits"/>
    <n v="285178"/>
    <n v="3019188"/>
    <n v="9.4499999999999993"/>
  </r>
  <r>
    <x v="4"/>
    <x v="2"/>
    <x v="11"/>
    <s v="Spirits"/>
    <n v="2394265"/>
    <n v="18207522"/>
    <n v="13.15"/>
  </r>
  <r>
    <x v="5"/>
    <x v="2"/>
    <x v="11"/>
    <s v="Spirits"/>
    <n v="1107279"/>
    <n v="10512479"/>
    <n v="10.53"/>
  </r>
  <r>
    <x v="6"/>
    <x v="2"/>
    <x v="11"/>
    <s v="Spirits"/>
    <n v="168627"/>
    <n v="2371396"/>
    <n v="7.11"/>
  </r>
  <r>
    <x v="7"/>
    <x v="2"/>
    <x v="11"/>
    <s v="Spirits"/>
    <n v="274656"/>
    <n v="3691561"/>
    <n v="7.44"/>
  </r>
  <r>
    <x v="8"/>
    <x v="2"/>
    <x v="11"/>
    <s v="Spirits"/>
    <n v="423955"/>
    <n v="3799736"/>
    <n v="11.16"/>
  </r>
  <r>
    <x v="9"/>
    <x v="2"/>
    <x v="11"/>
    <s v="Spirits"/>
    <n v="753136"/>
    <n v="5862386"/>
    <n v="12.85"/>
  </r>
  <r>
    <x v="10"/>
    <x v="2"/>
    <x v="11"/>
    <s v="Spirits"/>
    <n v="514530"/>
    <n v="5077875"/>
    <n v="10.130000000000001"/>
  </r>
  <r>
    <x v="11"/>
    <x v="2"/>
    <x v="11"/>
    <s v="Spirits"/>
    <n v="93379"/>
    <n v="617880"/>
    <n v="15.11"/>
  </r>
  <r>
    <x v="12"/>
    <x v="2"/>
    <x v="11"/>
    <s v="Spirits"/>
    <n v="1547600"/>
    <n v="23257363"/>
    <n v="6.65"/>
  </r>
  <r>
    <x v="13"/>
    <x v="2"/>
    <x v="11"/>
    <s v="Spirits"/>
    <n v="549479"/>
    <n v="7094962"/>
    <n v="7.74"/>
  </r>
  <r>
    <x v="14"/>
    <x v="2"/>
    <x v="11"/>
    <s v="Spirits"/>
    <n v="519293"/>
    <n v="4851640"/>
    <n v="10.7"/>
  </r>
  <r>
    <x v="0"/>
    <x v="2"/>
    <x v="11"/>
    <s v="Wine"/>
    <n v="27436"/>
    <n v="589481"/>
    <n v="4.6500000000000004"/>
  </r>
  <r>
    <x v="1"/>
    <x v="2"/>
    <x v="11"/>
    <s v="Wine"/>
    <n v="49695"/>
    <n v="2476087"/>
    <n v="2.0099999999999998"/>
  </r>
  <r>
    <x v="2"/>
    <x v="2"/>
    <x v="11"/>
    <s v="Wine"/>
    <n v="193126"/>
    <n v="4789291"/>
    <n v="4.03"/>
  </r>
  <r>
    <x v="3"/>
    <x v="2"/>
    <x v="11"/>
    <s v="Wine"/>
    <n v="171714"/>
    <n v="3019188"/>
    <n v="5.69"/>
  </r>
  <r>
    <x v="4"/>
    <x v="2"/>
    <x v="11"/>
    <s v="Wine"/>
    <n v="957826"/>
    <n v="18207522"/>
    <n v="5.26"/>
  </r>
  <r>
    <x v="5"/>
    <x v="2"/>
    <x v="11"/>
    <s v="Wine"/>
    <n v="551701"/>
    <n v="10512479"/>
    <n v="5.25"/>
  </r>
  <r>
    <x v="7"/>
    <x v="2"/>
    <x v="11"/>
    <s v="Wine"/>
    <n v="72609"/>
    <n v="3691561"/>
    <n v="1.97"/>
  </r>
  <r>
    <x v="8"/>
    <x v="2"/>
    <x v="11"/>
    <s v="Wine"/>
    <n v="141850"/>
    <n v="3799736"/>
    <n v="3.73"/>
  </r>
  <r>
    <x v="9"/>
    <x v="2"/>
    <x v="11"/>
    <s v="Wine"/>
    <n v="440438"/>
    <n v="5862386"/>
    <n v="7.51"/>
  </r>
  <r>
    <x v="10"/>
    <x v="2"/>
    <x v="11"/>
    <s v="Wine"/>
    <n v="174850"/>
    <n v="5077875"/>
    <n v="3.44"/>
  </r>
  <r>
    <x v="11"/>
    <x v="2"/>
    <x v="11"/>
    <s v="Wine"/>
    <n v="27278"/>
    <n v="617880"/>
    <n v="4.41"/>
  </r>
  <r>
    <x v="15"/>
    <x v="2"/>
    <x v="11"/>
    <s v="Wine"/>
    <n v="174740"/>
    <n v="3547474"/>
    <n v="4.93"/>
  </r>
  <r>
    <x v="12"/>
    <x v="2"/>
    <x v="11"/>
    <s v="Wine"/>
    <n v="703307"/>
    <n v="23257363"/>
    <n v="3.02"/>
  </r>
  <r>
    <x v="13"/>
    <x v="2"/>
    <x v="11"/>
    <s v="Wine"/>
    <n v="355691"/>
    <n v="7094962"/>
    <n v="5.01"/>
  </r>
  <r>
    <x v="14"/>
    <x v="2"/>
    <x v="11"/>
    <s v="Wine"/>
    <n v="160161"/>
    <n v="4851640"/>
    <n v="3.3"/>
  </r>
  <r>
    <x v="0"/>
    <x v="2"/>
    <x v="11"/>
    <s v="Beer"/>
    <n v="43548"/>
    <n v="589481"/>
    <n v="7.39"/>
  </r>
  <r>
    <x v="1"/>
    <x v="2"/>
    <x v="11"/>
    <s v="Beer"/>
    <n v="156961"/>
    <n v="2476087"/>
    <n v="6.34"/>
  </r>
  <r>
    <x v="2"/>
    <x v="2"/>
    <x v="11"/>
    <s v="Beer"/>
    <n v="427653"/>
    <n v="4789291"/>
    <n v="8.93"/>
  </r>
  <r>
    <x v="3"/>
    <x v="2"/>
    <x v="11"/>
    <s v="Beer"/>
    <n v="202486"/>
    <n v="3019188"/>
    <n v="6.71"/>
  </r>
  <r>
    <x v="4"/>
    <x v="2"/>
    <x v="11"/>
    <s v="Beer"/>
    <n v="1673678"/>
    <n v="18207522"/>
    <n v="9.19"/>
  </r>
  <r>
    <x v="5"/>
    <x v="2"/>
    <x v="11"/>
    <s v="Beer"/>
    <n v="952960"/>
    <n v="10512479"/>
    <n v="9.07"/>
  </r>
  <r>
    <x v="6"/>
    <x v="2"/>
    <x v="11"/>
    <s v="Beer"/>
    <n v="169854"/>
    <n v="2371396"/>
    <n v="7.16"/>
  </r>
  <r>
    <x v="7"/>
    <x v="2"/>
    <x v="11"/>
    <s v="Beer"/>
    <n v="259000"/>
    <n v="3691561"/>
    <n v="7.02"/>
  </r>
  <r>
    <x v="9"/>
    <x v="2"/>
    <x v="11"/>
    <s v="Beer"/>
    <n v="405733"/>
    <n v="5862386"/>
    <n v="6.92"/>
  </r>
  <r>
    <x v="10"/>
    <x v="2"/>
    <x v="11"/>
    <s v="Beer"/>
    <n v="429644"/>
    <n v="5077875"/>
    <n v="8.4600000000000009"/>
  </r>
  <r>
    <x v="11"/>
    <x v="2"/>
    <x v="11"/>
    <s v="Beer"/>
    <n v="71188"/>
    <n v="617880"/>
    <n v="11.52"/>
  </r>
  <r>
    <x v="15"/>
    <x v="2"/>
    <x v="11"/>
    <s v="Beer"/>
    <n v="307802"/>
    <n v="3547474"/>
    <n v="8.68"/>
  </r>
  <r>
    <x v="12"/>
    <x v="2"/>
    <x v="11"/>
    <s v="Beer"/>
    <n v="2192640"/>
    <n v="23257363"/>
    <n v="9.43"/>
  </r>
  <r>
    <x v="13"/>
    <x v="2"/>
    <x v="11"/>
    <s v="Beer"/>
    <n v="544450"/>
    <n v="7094962"/>
    <n v="7.67"/>
  </r>
  <r>
    <x v="0"/>
    <x v="3"/>
    <x v="0"/>
    <s v="Spirits"/>
    <n v="50095"/>
    <n v="589481"/>
    <n v="8.5"/>
  </r>
  <r>
    <x v="1"/>
    <x v="3"/>
    <x v="0"/>
    <s v="Spirits"/>
    <n v="133955"/>
    <n v="2476087"/>
    <n v="5.41"/>
  </r>
  <r>
    <x v="2"/>
    <x v="3"/>
    <x v="0"/>
    <s v="Spirits"/>
    <n v="368544"/>
    <n v="4789291"/>
    <n v="7.7"/>
  </r>
  <r>
    <x v="3"/>
    <x v="3"/>
    <x v="0"/>
    <s v="Spirits"/>
    <n v="269886"/>
    <n v="3019188"/>
    <n v="8.94"/>
  </r>
  <r>
    <x v="4"/>
    <x v="3"/>
    <x v="0"/>
    <s v="Spirits"/>
    <n v="1423536"/>
    <n v="18207522"/>
    <n v="7.82"/>
  </r>
  <r>
    <x v="5"/>
    <x v="3"/>
    <x v="0"/>
    <s v="Spirits"/>
    <n v="528950"/>
    <n v="10512479"/>
    <n v="5.03"/>
  </r>
  <r>
    <x v="6"/>
    <x v="3"/>
    <x v="0"/>
    <s v="Spirits"/>
    <n v="147040"/>
    <n v="2371396"/>
    <n v="6.2"/>
  </r>
  <r>
    <x v="7"/>
    <x v="3"/>
    <x v="0"/>
    <s v="Spirits"/>
    <n v="376194"/>
    <n v="3691561"/>
    <n v="10.19"/>
  </r>
  <r>
    <x v="8"/>
    <x v="3"/>
    <x v="0"/>
    <s v="Spirits"/>
    <n v="306242"/>
    <n v="3799736"/>
    <n v="8.06"/>
  </r>
  <r>
    <x v="9"/>
    <x v="3"/>
    <x v="0"/>
    <s v="Spirits"/>
    <n v="318704"/>
    <n v="5862386"/>
    <n v="5.44"/>
  </r>
  <r>
    <x v="10"/>
    <x v="3"/>
    <x v="0"/>
    <s v="Spirits"/>
    <n v="339394"/>
    <n v="5077875"/>
    <n v="6.68"/>
  </r>
  <r>
    <x v="11"/>
    <x v="3"/>
    <x v="0"/>
    <s v="Spirits"/>
    <n v="52687"/>
    <n v="617880"/>
    <n v="8.5299999999999994"/>
  </r>
  <r>
    <x v="12"/>
    <x v="3"/>
    <x v="0"/>
    <s v="Spirits"/>
    <n v="1913050"/>
    <n v="23257363"/>
    <n v="8.23"/>
  </r>
  <r>
    <x v="13"/>
    <x v="3"/>
    <x v="0"/>
    <s v="Spirits"/>
    <n v="378039"/>
    <n v="7094962"/>
    <n v="5.33"/>
  </r>
  <r>
    <x v="14"/>
    <x v="3"/>
    <x v="0"/>
    <s v="Spirits"/>
    <n v="618717"/>
    <n v="4851640"/>
    <n v="12.75"/>
  </r>
  <r>
    <x v="0"/>
    <x v="3"/>
    <x v="0"/>
    <s v="Wine"/>
    <n v="18485"/>
    <n v="589481"/>
    <n v="3.14"/>
  </r>
  <r>
    <x v="1"/>
    <x v="3"/>
    <x v="0"/>
    <s v="Wine"/>
    <n v="55650"/>
    <n v="2476087"/>
    <n v="2.25"/>
  </r>
  <r>
    <x v="2"/>
    <x v="3"/>
    <x v="0"/>
    <s v="Wine"/>
    <n v="163095"/>
    <n v="4789291"/>
    <n v="3.41"/>
  </r>
  <r>
    <x v="3"/>
    <x v="3"/>
    <x v="0"/>
    <s v="Wine"/>
    <n v="171461"/>
    <n v="3019188"/>
    <n v="5.68"/>
  </r>
  <r>
    <x v="4"/>
    <x v="3"/>
    <x v="0"/>
    <s v="Wine"/>
    <n v="774290"/>
    <n v="18207522"/>
    <n v="4.25"/>
  </r>
  <r>
    <x v="5"/>
    <x v="3"/>
    <x v="0"/>
    <s v="Wine"/>
    <n v="303220"/>
    <n v="10512479"/>
    <n v="2.88"/>
  </r>
  <r>
    <x v="7"/>
    <x v="3"/>
    <x v="0"/>
    <s v="Wine"/>
    <n v="94482"/>
    <n v="3691561"/>
    <n v="2.56"/>
  </r>
  <r>
    <x v="8"/>
    <x v="3"/>
    <x v="0"/>
    <s v="Wine"/>
    <n v="101921"/>
    <n v="3799736"/>
    <n v="2.68"/>
  </r>
  <r>
    <x v="9"/>
    <x v="3"/>
    <x v="0"/>
    <s v="Wine"/>
    <n v="189921"/>
    <n v="5862386"/>
    <n v="3.24"/>
  </r>
  <r>
    <x v="10"/>
    <x v="3"/>
    <x v="0"/>
    <s v="Wine"/>
    <n v="162587"/>
    <n v="5077875"/>
    <n v="3.2"/>
  </r>
  <r>
    <x v="11"/>
    <x v="3"/>
    <x v="0"/>
    <s v="Wine"/>
    <n v="11672"/>
    <n v="617880"/>
    <n v="1.89"/>
  </r>
  <r>
    <x v="15"/>
    <x v="3"/>
    <x v="0"/>
    <s v="Wine"/>
    <n v="195733"/>
    <n v="3547474"/>
    <n v="5.52"/>
  </r>
  <r>
    <x v="12"/>
    <x v="3"/>
    <x v="0"/>
    <s v="Wine"/>
    <n v="815334"/>
    <n v="23257363"/>
    <n v="3.51"/>
  </r>
  <r>
    <x v="13"/>
    <x v="3"/>
    <x v="0"/>
    <s v="Wine"/>
    <n v="263006"/>
    <n v="7094962"/>
    <n v="3.71"/>
  </r>
  <r>
    <x v="14"/>
    <x v="3"/>
    <x v="0"/>
    <s v="Wine"/>
    <n v="167404"/>
    <n v="4851640"/>
    <n v="3.45"/>
  </r>
  <r>
    <x v="0"/>
    <x v="3"/>
    <x v="0"/>
    <s v="Beer"/>
    <n v="39292"/>
    <n v="589481"/>
    <n v="6.67"/>
  </r>
  <r>
    <x v="1"/>
    <x v="3"/>
    <x v="0"/>
    <s v="Beer"/>
    <n v="137573"/>
    <n v="2476087"/>
    <n v="5.56"/>
  </r>
  <r>
    <x v="2"/>
    <x v="3"/>
    <x v="0"/>
    <s v="Beer"/>
    <n v="401144"/>
    <n v="4789291"/>
    <n v="8.3800000000000008"/>
  </r>
  <r>
    <x v="3"/>
    <x v="3"/>
    <x v="0"/>
    <s v="Beer"/>
    <n v="193117"/>
    <n v="3019188"/>
    <n v="6.4"/>
  </r>
  <r>
    <x v="4"/>
    <x v="3"/>
    <x v="0"/>
    <s v="Beer"/>
    <n v="1541712"/>
    <n v="18207522"/>
    <n v="8.4700000000000006"/>
  </r>
  <r>
    <x v="5"/>
    <x v="3"/>
    <x v="0"/>
    <s v="Beer"/>
    <n v="778366"/>
    <n v="10512479"/>
    <n v="7.4"/>
  </r>
  <r>
    <x v="6"/>
    <x v="3"/>
    <x v="0"/>
    <s v="Beer"/>
    <n v="190078"/>
    <n v="2371396"/>
    <n v="8.02"/>
  </r>
  <r>
    <x v="7"/>
    <x v="3"/>
    <x v="0"/>
    <s v="Beer"/>
    <n v="246475"/>
    <n v="3691561"/>
    <n v="6.68"/>
  </r>
  <r>
    <x v="9"/>
    <x v="3"/>
    <x v="0"/>
    <s v="Beer"/>
    <n v="395278"/>
    <n v="5862386"/>
    <n v="6.74"/>
  </r>
  <r>
    <x v="10"/>
    <x v="3"/>
    <x v="0"/>
    <s v="Beer"/>
    <n v="376158"/>
    <n v="5077875"/>
    <n v="7.41"/>
  </r>
  <r>
    <x v="11"/>
    <x v="3"/>
    <x v="0"/>
    <s v="Beer"/>
    <n v="72234"/>
    <n v="617880"/>
    <n v="11.69"/>
  </r>
  <r>
    <x v="15"/>
    <x v="3"/>
    <x v="0"/>
    <s v="Beer"/>
    <n v="272988"/>
    <n v="3547474"/>
    <n v="7.7"/>
  </r>
  <r>
    <x v="12"/>
    <x v="3"/>
    <x v="0"/>
    <s v="Beer"/>
    <n v="2482631"/>
    <n v="23257363"/>
    <n v="10.67"/>
  </r>
  <r>
    <x v="13"/>
    <x v="3"/>
    <x v="0"/>
    <s v="Beer"/>
    <n v="493631"/>
    <n v="7094962"/>
    <n v="6.96"/>
  </r>
  <r>
    <x v="0"/>
    <x v="3"/>
    <x v="1"/>
    <s v="Spirits"/>
    <n v="51290"/>
    <n v="589481"/>
    <n v="8.6999999999999993"/>
  </r>
  <r>
    <x v="1"/>
    <x v="3"/>
    <x v="1"/>
    <s v="Spirits"/>
    <n v="123075"/>
    <n v="2476087"/>
    <n v="4.97"/>
  </r>
  <r>
    <x v="2"/>
    <x v="3"/>
    <x v="1"/>
    <s v="Spirits"/>
    <n v="418275"/>
    <n v="4789291"/>
    <n v="8.73"/>
  </r>
  <r>
    <x v="3"/>
    <x v="3"/>
    <x v="1"/>
    <s v="Spirits"/>
    <n v="255098"/>
    <n v="3019188"/>
    <n v="8.4499999999999993"/>
  </r>
  <r>
    <x v="4"/>
    <x v="3"/>
    <x v="1"/>
    <s v="Spirits"/>
    <n v="1531115"/>
    <n v="18207522"/>
    <n v="8.41"/>
  </r>
  <r>
    <x v="5"/>
    <x v="3"/>
    <x v="1"/>
    <s v="Spirits"/>
    <n v="654331"/>
    <n v="10512479"/>
    <n v="6.22"/>
  </r>
  <r>
    <x v="6"/>
    <x v="3"/>
    <x v="1"/>
    <s v="Spirits"/>
    <n v="135840"/>
    <n v="2371396"/>
    <n v="5.73"/>
  </r>
  <r>
    <x v="7"/>
    <x v="3"/>
    <x v="1"/>
    <s v="Spirits"/>
    <n v="198494"/>
    <n v="3691561"/>
    <n v="5.38"/>
  </r>
  <r>
    <x v="8"/>
    <x v="3"/>
    <x v="1"/>
    <s v="Spirits"/>
    <n v="338789"/>
    <n v="3799736"/>
    <n v="8.92"/>
  </r>
  <r>
    <x v="9"/>
    <x v="3"/>
    <x v="1"/>
    <s v="Spirits"/>
    <n v="379509"/>
    <n v="5862386"/>
    <n v="6.47"/>
  </r>
  <r>
    <x v="10"/>
    <x v="3"/>
    <x v="1"/>
    <s v="Spirits"/>
    <n v="423234"/>
    <n v="5077875"/>
    <n v="8.33"/>
  </r>
  <r>
    <x v="11"/>
    <x v="3"/>
    <x v="1"/>
    <s v="Spirits"/>
    <n v="60399"/>
    <n v="617880"/>
    <n v="9.7799999999999994"/>
  </r>
  <r>
    <x v="12"/>
    <x v="3"/>
    <x v="1"/>
    <s v="Spirits"/>
    <n v="1364960"/>
    <n v="23257363"/>
    <n v="5.87"/>
  </r>
  <r>
    <x v="13"/>
    <x v="3"/>
    <x v="1"/>
    <s v="Spirits"/>
    <n v="397254"/>
    <n v="7094962"/>
    <n v="5.6"/>
  </r>
  <r>
    <x v="14"/>
    <x v="3"/>
    <x v="1"/>
    <s v="Spirits"/>
    <n v="444990"/>
    <n v="4851640"/>
    <n v="9.17"/>
  </r>
  <r>
    <x v="0"/>
    <x v="3"/>
    <x v="1"/>
    <s v="Wine"/>
    <n v="23657"/>
    <n v="589481"/>
    <n v="4.01"/>
  </r>
  <r>
    <x v="1"/>
    <x v="3"/>
    <x v="1"/>
    <s v="Wine"/>
    <n v="45352"/>
    <n v="2476087"/>
    <n v="1.83"/>
  </r>
  <r>
    <x v="2"/>
    <x v="3"/>
    <x v="1"/>
    <s v="Wine"/>
    <n v="185554"/>
    <n v="4789291"/>
    <n v="3.87"/>
  </r>
  <r>
    <x v="3"/>
    <x v="3"/>
    <x v="1"/>
    <s v="Wine"/>
    <n v="117996"/>
    <n v="3019188"/>
    <n v="3.91"/>
  </r>
  <r>
    <x v="4"/>
    <x v="3"/>
    <x v="1"/>
    <s v="Wine"/>
    <n v="898518"/>
    <n v="18207522"/>
    <n v="4.93"/>
  </r>
  <r>
    <x v="5"/>
    <x v="3"/>
    <x v="1"/>
    <s v="Wine"/>
    <n v="342189"/>
    <n v="10512479"/>
    <n v="3.26"/>
  </r>
  <r>
    <x v="7"/>
    <x v="3"/>
    <x v="1"/>
    <s v="Wine"/>
    <n v="49299"/>
    <n v="3691561"/>
    <n v="1.34"/>
  </r>
  <r>
    <x v="8"/>
    <x v="3"/>
    <x v="1"/>
    <s v="Wine"/>
    <n v="108200"/>
    <n v="3799736"/>
    <n v="2.85"/>
  </r>
  <r>
    <x v="9"/>
    <x v="3"/>
    <x v="1"/>
    <s v="Wine"/>
    <n v="238602"/>
    <n v="5862386"/>
    <n v="4.07"/>
  </r>
  <r>
    <x v="10"/>
    <x v="3"/>
    <x v="1"/>
    <s v="Wine"/>
    <n v="135429"/>
    <n v="5077875"/>
    <n v="2.67"/>
  </r>
  <r>
    <x v="11"/>
    <x v="3"/>
    <x v="1"/>
    <s v="Wine"/>
    <n v="12508"/>
    <n v="617880"/>
    <n v="2.02"/>
  </r>
  <r>
    <x v="15"/>
    <x v="3"/>
    <x v="1"/>
    <s v="Wine"/>
    <n v="160589"/>
    <n v="3547474"/>
    <n v="4.53"/>
  </r>
  <r>
    <x v="12"/>
    <x v="3"/>
    <x v="1"/>
    <s v="Wine"/>
    <n v="593730"/>
    <n v="23257363"/>
    <n v="2.5499999999999998"/>
  </r>
  <r>
    <x v="13"/>
    <x v="3"/>
    <x v="1"/>
    <s v="Wine"/>
    <n v="258238"/>
    <n v="7094962"/>
    <n v="3.64"/>
  </r>
  <r>
    <x v="14"/>
    <x v="3"/>
    <x v="1"/>
    <s v="Wine"/>
    <n v="131102"/>
    <n v="4851640"/>
    <n v="2.7"/>
  </r>
  <r>
    <x v="0"/>
    <x v="3"/>
    <x v="1"/>
    <s v="Beer"/>
    <n v="36320"/>
    <n v="589481"/>
    <n v="6.16"/>
  </r>
  <r>
    <x v="1"/>
    <x v="3"/>
    <x v="1"/>
    <s v="Beer"/>
    <n v="154463"/>
    <n v="2476087"/>
    <n v="6.24"/>
  </r>
  <r>
    <x v="2"/>
    <x v="3"/>
    <x v="1"/>
    <s v="Beer"/>
    <n v="352940"/>
    <n v="4789291"/>
    <n v="7.37"/>
  </r>
  <r>
    <x v="3"/>
    <x v="3"/>
    <x v="1"/>
    <s v="Beer"/>
    <n v="148211"/>
    <n v="3019188"/>
    <n v="4.91"/>
  </r>
  <r>
    <x v="4"/>
    <x v="3"/>
    <x v="1"/>
    <s v="Beer"/>
    <n v="1397338"/>
    <n v="18207522"/>
    <n v="7.67"/>
  </r>
  <r>
    <x v="5"/>
    <x v="3"/>
    <x v="1"/>
    <s v="Beer"/>
    <n v="653075"/>
    <n v="10512479"/>
    <n v="6.21"/>
  </r>
  <r>
    <x v="6"/>
    <x v="3"/>
    <x v="1"/>
    <s v="Beer"/>
    <n v="206563"/>
    <n v="2371396"/>
    <n v="8.7100000000000009"/>
  </r>
  <r>
    <x v="7"/>
    <x v="3"/>
    <x v="1"/>
    <s v="Beer"/>
    <n v="253701"/>
    <n v="3691561"/>
    <n v="6.87"/>
  </r>
  <r>
    <x v="9"/>
    <x v="3"/>
    <x v="1"/>
    <s v="Beer"/>
    <n v="360084"/>
    <n v="5862386"/>
    <n v="6.14"/>
  </r>
  <r>
    <x v="10"/>
    <x v="3"/>
    <x v="1"/>
    <s v="Beer"/>
    <n v="391154"/>
    <n v="5077875"/>
    <n v="7.7"/>
  </r>
  <r>
    <x v="11"/>
    <x v="3"/>
    <x v="1"/>
    <s v="Beer"/>
    <n v="63119"/>
    <n v="617880"/>
    <n v="10.220000000000001"/>
  </r>
  <r>
    <x v="15"/>
    <x v="3"/>
    <x v="1"/>
    <s v="Beer"/>
    <n v="307897"/>
    <n v="3547474"/>
    <n v="8.68"/>
  </r>
  <r>
    <x v="12"/>
    <x v="3"/>
    <x v="1"/>
    <s v="Beer"/>
    <n v="2024152"/>
    <n v="23257363"/>
    <n v="8.6999999999999993"/>
  </r>
  <r>
    <x v="13"/>
    <x v="3"/>
    <x v="1"/>
    <s v="Beer"/>
    <n v="424059"/>
    <n v="7094962"/>
    <n v="5.98"/>
  </r>
  <r>
    <x v="0"/>
    <x v="3"/>
    <x v="2"/>
    <s v="Spirits"/>
    <n v="73276"/>
    <n v="589481"/>
    <n v="12.43"/>
  </r>
  <r>
    <x v="1"/>
    <x v="3"/>
    <x v="2"/>
    <s v="Spirits"/>
    <n v="130426"/>
    <n v="2476087"/>
    <n v="5.27"/>
  </r>
  <r>
    <x v="2"/>
    <x v="3"/>
    <x v="2"/>
    <s v="Spirits"/>
    <n v="563111"/>
    <n v="4789291"/>
    <n v="11.76"/>
  </r>
  <r>
    <x v="3"/>
    <x v="3"/>
    <x v="2"/>
    <s v="Spirits"/>
    <n v="259184"/>
    <n v="3019188"/>
    <n v="8.58"/>
  </r>
  <r>
    <x v="4"/>
    <x v="3"/>
    <x v="2"/>
    <s v="Spirits"/>
    <n v="2146372"/>
    <n v="18207522"/>
    <n v="11.79"/>
  </r>
  <r>
    <x v="5"/>
    <x v="3"/>
    <x v="2"/>
    <s v="Spirits"/>
    <n v="755154"/>
    <n v="10512479"/>
    <n v="7.18"/>
  </r>
  <r>
    <x v="6"/>
    <x v="3"/>
    <x v="2"/>
    <s v="Spirits"/>
    <n v="172643"/>
    <n v="2371396"/>
    <n v="7.28"/>
  </r>
  <r>
    <x v="7"/>
    <x v="3"/>
    <x v="2"/>
    <s v="Spirits"/>
    <n v="231610"/>
    <n v="3691561"/>
    <n v="6.27"/>
  </r>
  <r>
    <x v="8"/>
    <x v="3"/>
    <x v="2"/>
    <s v="Spirits"/>
    <n v="329317"/>
    <n v="3799736"/>
    <n v="8.67"/>
  </r>
  <r>
    <x v="9"/>
    <x v="3"/>
    <x v="2"/>
    <s v="Spirits"/>
    <n v="506475"/>
    <n v="5862386"/>
    <n v="8.64"/>
  </r>
  <r>
    <x v="10"/>
    <x v="3"/>
    <x v="2"/>
    <s v="Spirits"/>
    <n v="530916"/>
    <n v="5077875"/>
    <n v="10.46"/>
  </r>
  <r>
    <x v="11"/>
    <x v="3"/>
    <x v="2"/>
    <s v="Spirits"/>
    <n v="83385"/>
    <n v="617880"/>
    <n v="13.5"/>
  </r>
  <r>
    <x v="12"/>
    <x v="3"/>
    <x v="2"/>
    <s v="Spirits"/>
    <n v="1288178"/>
    <n v="23257363"/>
    <n v="5.54"/>
  </r>
  <r>
    <x v="13"/>
    <x v="3"/>
    <x v="2"/>
    <s v="Spirits"/>
    <n v="496560"/>
    <n v="7094962"/>
    <n v="7"/>
  </r>
  <r>
    <x v="14"/>
    <x v="3"/>
    <x v="2"/>
    <s v="Spirits"/>
    <n v="398608"/>
    <n v="4851640"/>
    <n v="8.2200000000000006"/>
  </r>
  <r>
    <x v="0"/>
    <x v="3"/>
    <x v="2"/>
    <s v="Wine"/>
    <n v="26087"/>
    <n v="589481"/>
    <n v="4.43"/>
  </r>
  <r>
    <x v="1"/>
    <x v="3"/>
    <x v="2"/>
    <s v="Wine"/>
    <n v="43576"/>
    <n v="2476087"/>
    <n v="1.76"/>
  </r>
  <r>
    <x v="2"/>
    <x v="3"/>
    <x v="2"/>
    <s v="Wine"/>
    <n v="222628"/>
    <n v="4789291"/>
    <n v="4.6500000000000004"/>
  </r>
  <r>
    <x v="3"/>
    <x v="3"/>
    <x v="2"/>
    <s v="Wine"/>
    <n v="162915"/>
    <n v="3019188"/>
    <n v="5.4"/>
  </r>
  <r>
    <x v="4"/>
    <x v="3"/>
    <x v="2"/>
    <s v="Wine"/>
    <n v="938888"/>
    <n v="18207522"/>
    <n v="5.16"/>
  </r>
  <r>
    <x v="5"/>
    <x v="3"/>
    <x v="2"/>
    <s v="Wine"/>
    <n v="408585"/>
    <n v="10512479"/>
    <n v="3.89"/>
  </r>
  <r>
    <x v="7"/>
    <x v="3"/>
    <x v="2"/>
    <s v="Wine"/>
    <n v="66694"/>
    <n v="3691561"/>
    <n v="1.81"/>
  </r>
  <r>
    <x v="8"/>
    <x v="3"/>
    <x v="2"/>
    <s v="Wine"/>
    <n v="113658"/>
    <n v="3799736"/>
    <n v="2.99"/>
  </r>
  <r>
    <x v="9"/>
    <x v="3"/>
    <x v="2"/>
    <s v="Wine"/>
    <n v="302288"/>
    <n v="5862386"/>
    <n v="5.16"/>
  </r>
  <r>
    <x v="10"/>
    <x v="3"/>
    <x v="2"/>
    <s v="Wine"/>
    <n v="160152"/>
    <n v="5077875"/>
    <n v="3.15"/>
  </r>
  <r>
    <x v="11"/>
    <x v="3"/>
    <x v="2"/>
    <s v="Wine"/>
    <n v="17478"/>
    <n v="617880"/>
    <n v="2.83"/>
  </r>
  <r>
    <x v="15"/>
    <x v="3"/>
    <x v="2"/>
    <s v="Wine"/>
    <n v="122928"/>
    <n v="3547474"/>
    <n v="3.47"/>
  </r>
  <r>
    <x v="12"/>
    <x v="3"/>
    <x v="2"/>
    <s v="Wine"/>
    <n v="602944"/>
    <n v="23257363"/>
    <n v="2.59"/>
  </r>
  <r>
    <x v="13"/>
    <x v="3"/>
    <x v="2"/>
    <s v="Wine"/>
    <n v="321274"/>
    <n v="7094962"/>
    <n v="4.53"/>
  </r>
  <r>
    <x v="14"/>
    <x v="3"/>
    <x v="2"/>
    <s v="Wine"/>
    <n v="125126"/>
    <n v="4851640"/>
    <n v="2.58"/>
  </r>
  <r>
    <x v="0"/>
    <x v="3"/>
    <x v="2"/>
    <s v="Beer"/>
    <n v="48015"/>
    <n v="589481"/>
    <n v="8.15"/>
  </r>
  <r>
    <x v="1"/>
    <x v="3"/>
    <x v="2"/>
    <s v="Beer"/>
    <n v="145589"/>
    <n v="2476087"/>
    <n v="5.88"/>
  </r>
  <r>
    <x v="2"/>
    <x v="3"/>
    <x v="2"/>
    <s v="Beer"/>
    <n v="463734"/>
    <n v="4789291"/>
    <n v="9.68"/>
  </r>
  <r>
    <x v="3"/>
    <x v="3"/>
    <x v="2"/>
    <s v="Beer"/>
    <n v="182565"/>
    <n v="3019188"/>
    <n v="6.05"/>
  </r>
  <r>
    <x v="4"/>
    <x v="3"/>
    <x v="2"/>
    <s v="Beer"/>
    <n v="1753257"/>
    <n v="18207522"/>
    <n v="9.6300000000000008"/>
  </r>
  <r>
    <x v="5"/>
    <x v="3"/>
    <x v="2"/>
    <s v="Beer"/>
    <n v="857698"/>
    <n v="10512479"/>
    <n v="8.16"/>
  </r>
  <r>
    <x v="6"/>
    <x v="3"/>
    <x v="2"/>
    <s v="Beer"/>
    <n v="172777"/>
    <n v="2371396"/>
    <n v="7.29"/>
  </r>
  <r>
    <x v="7"/>
    <x v="3"/>
    <x v="2"/>
    <s v="Beer"/>
    <n v="262079"/>
    <n v="3691561"/>
    <n v="7.1"/>
  </r>
  <r>
    <x v="9"/>
    <x v="3"/>
    <x v="2"/>
    <s v="Beer"/>
    <n v="383511"/>
    <n v="5862386"/>
    <n v="6.54"/>
  </r>
  <r>
    <x v="10"/>
    <x v="3"/>
    <x v="2"/>
    <s v="Beer"/>
    <n v="456674"/>
    <n v="5077875"/>
    <n v="8.99"/>
  </r>
  <r>
    <x v="11"/>
    <x v="3"/>
    <x v="2"/>
    <s v="Beer"/>
    <n v="72420"/>
    <n v="617880"/>
    <n v="11.72"/>
  </r>
  <r>
    <x v="15"/>
    <x v="3"/>
    <x v="2"/>
    <s v="Beer"/>
    <n v="210071"/>
    <n v="3547474"/>
    <n v="5.92"/>
  </r>
  <r>
    <x v="12"/>
    <x v="3"/>
    <x v="2"/>
    <s v="Beer"/>
    <n v="1635992"/>
    <n v="23257363"/>
    <n v="7.03"/>
  </r>
  <r>
    <x v="13"/>
    <x v="3"/>
    <x v="2"/>
    <s v="Beer"/>
    <n v="546917"/>
    <n v="7094962"/>
    <n v="7.71"/>
  </r>
  <r>
    <x v="0"/>
    <x v="3"/>
    <x v="3"/>
    <s v="Spirits"/>
    <n v="56477"/>
    <n v="589481"/>
    <n v="9.58"/>
  </r>
  <r>
    <x v="1"/>
    <x v="3"/>
    <x v="3"/>
    <s v="Spirits"/>
    <n v="146139"/>
    <n v="2476087"/>
    <n v="5.9"/>
  </r>
  <r>
    <x v="2"/>
    <x v="3"/>
    <x v="3"/>
    <s v="Spirits"/>
    <n v="487857"/>
    <n v="4789291"/>
    <n v="10.19"/>
  </r>
  <r>
    <x v="3"/>
    <x v="3"/>
    <x v="3"/>
    <s v="Spirits"/>
    <n v="221183"/>
    <n v="3019188"/>
    <n v="7.33"/>
  </r>
  <r>
    <x v="4"/>
    <x v="3"/>
    <x v="3"/>
    <s v="Spirits"/>
    <n v="1438027"/>
    <n v="18207522"/>
    <n v="7.9"/>
  </r>
  <r>
    <x v="5"/>
    <x v="3"/>
    <x v="3"/>
    <s v="Spirits"/>
    <n v="663382"/>
    <n v="10512479"/>
    <n v="6.31"/>
  </r>
  <r>
    <x v="6"/>
    <x v="3"/>
    <x v="3"/>
    <s v="Spirits"/>
    <n v="179460"/>
    <n v="2371396"/>
    <n v="7.57"/>
  </r>
  <r>
    <x v="7"/>
    <x v="3"/>
    <x v="3"/>
    <s v="Spirits"/>
    <n v="315002"/>
    <n v="3691561"/>
    <n v="8.5299999999999994"/>
  </r>
  <r>
    <x v="8"/>
    <x v="3"/>
    <x v="3"/>
    <s v="Spirits"/>
    <n v="320160"/>
    <n v="3799736"/>
    <n v="8.43"/>
  </r>
  <r>
    <x v="9"/>
    <x v="3"/>
    <x v="3"/>
    <s v="Spirits"/>
    <n v="529555"/>
    <n v="5862386"/>
    <n v="9.0299999999999994"/>
  </r>
  <r>
    <x v="10"/>
    <x v="3"/>
    <x v="3"/>
    <s v="Spirits"/>
    <n v="495004"/>
    <n v="5077875"/>
    <n v="9.75"/>
  </r>
  <r>
    <x v="11"/>
    <x v="3"/>
    <x v="3"/>
    <s v="Spirits"/>
    <n v="65180"/>
    <n v="617880"/>
    <n v="10.55"/>
  </r>
  <r>
    <x v="12"/>
    <x v="3"/>
    <x v="3"/>
    <s v="Spirits"/>
    <n v="1519441"/>
    <n v="23257363"/>
    <n v="6.53"/>
  </r>
  <r>
    <x v="13"/>
    <x v="3"/>
    <x v="3"/>
    <s v="Spirits"/>
    <n v="427915"/>
    <n v="7094962"/>
    <n v="6.03"/>
  </r>
  <r>
    <x v="14"/>
    <x v="3"/>
    <x v="3"/>
    <s v="Spirits"/>
    <n v="534098"/>
    <n v="4851640"/>
    <n v="11.01"/>
  </r>
  <r>
    <x v="0"/>
    <x v="3"/>
    <x v="3"/>
    <s v="Wine"/>
    <n v="22370"/>
    <n v="589481"/>
    <n v="3.79"/>
  </r>
  <r>
    <x v="1"/>
    <x v="3"/>
    <x v="3"/>
    <s v="Wine"/>
    <n v="54066"/>
    <n v="2476087"/>
    <n v="2.1800000000000002"/>
  </r>
  <r>
    <x v="2"/>
    <x v="3"/>
    <x v="3"/>
    <s v="Wine"/>
    <n v="185167"/>
    <n v="4789291"/>
    <n v="3.87"/>
  </r>
  <r>
    <x v="3"/>
    <x v="3"/>
    <x v="3"/>
    <s v="Wine"/>
    <n v="128637"/>
    <n v="3019188"/>
    <n v="4.26"/>
  </r>
  <r>
    <x v="4"/>
    <x v="3"/>
    <x v="3"/>
    <s v="Wine"/>
    <n v="755172"/>
    <n v="18207522"/>
    <n v="4.1500000000000004"/>
  </r>
  <r>
    <x v="5"/>
    <x v="3"/>
    <x v="3"/>
    <s v="Wine"/>
    <n v="393602"/>
    <n v="10512479"/>
    <n v="3.74"/>
  </r>
  <r>
    <x v="7"/>
    <x v="3"/>
    <x v="3"/>
    <s v="Wine"/>
    <n v="75637"/>
    <n v="3691561"/>
    <n v="2.0499999999999998"/>
  </r>
  <r>
    <x v="8"/>
    <x v="3"/>
    <x v="3"/>
    <s v="Wine"/>
    <n v="101758"/>
    <n v="3799736"/>
    <n v="2.68"/>
  </r>
  <r>
    <x v="9"/>
    <x v="3"/>
    <x v="3"/>
    <s v="Wine"/>
    <n v="309496"/>
    <n v="5862386"/>
    <n v="5.28"/>
  </r>
  <r>
    <x v="10"/>
    <x v="3"/>
    <x v="3"/>
    <s v="Wine"/>
    <n v="165193"/>
    <n v="5077875"/>
    <n v="3.25"/>
  </r>
  <r>
    <x v="11"/>
    <x v="3"/>
    <x v="3"/>
    <s v="Wine"/>
    <n v="17235"/>
    <n v="617880"/>
    <n v="2.79"/>
  </r>
  <r>
    <x v="15"/>
    <x v="3"/>
    <x v="3"/>
    <s v="Wine"/>
    <n v="181577"/>
    <n v="3547474"/>
    <n v="5.12"/>
  </r>
  <r>
    <x v="12"/>
    <x v="3"/>
    <x v="3"/>
    <s v="Wine"/>
    <n v="744306"/>
    <n v="23257363"/>
    <n v="3.2"/>
  </r>
  <r>
    <x v="13"/>
    <x v="3"/>
    <x v="3"/>
    <s v="Wine"/>
    <n v="306134"/>
    <n v="7094962"/>
    <n v="4.3099999999999996"/>
  </r>
  <r>
    <x v="14"/>
    <x v="3"/>
    <x v="3"/>
    <s v="Wine"/>
    <n v="177467"/>
    <n v="4851640"/>
    <n v="3.66"/>
  </r>
  <r>
    <x v="0"/>
    <x v="3"/>
    <x v="3"/>
    <s v="Beer"/>
    <n v="46318"/>
    <n v="589481"/>
    <n v="7.86"/>
  </r>
  <r>
    <x v="1"/>
    <x v="3"/>
    <x v="3"/>
    <s v="Beer"/>
    <n v="187381"/>
    <n v="2476087"/>
    <n v="7.57"/>
  </r>
  <r>
    <x v="2"/>
    <x v="3"/>
    <x v="3"/>
    <s v="Beer"/>
    <n v="411066"/>
    <n v="4789291"/>
    <n v="8.58"/>
  </r>
  <r>
    <x v="3"/>
    <x v="3"/>
    <x v="3"/>
    <s v="Beer"/>
    <n v="164406"/>
    <n v="3019188"/>
    <n v="5.45"/>
  </r>
  <r>
    <x v="4"/>
    <x v="3"/>
    <x v="3"/>
    <s v="Beer"/>
    <n v="1429488"/>
    <n v="18207522"/>
    <n v="7.85"/>
  </r>
  <r>
    <x v="5"/>
    <x v="3"/>
    <x v="3"/>
    <s v="Beer"/>
    <n v="819741"/>
    <n v="10512479"/>
    <n v="7.8"/>
  </r>
  <r>
    <x v="6"/>
    <x v="3"/>
    <x v="3"/>
    <s v="Beer"/>
    <n v="183760"/>
    <n v="2371396"/>
    <n v="7.75"/>
  </r>
  <r>
    <x v="7"/>
    <x v="3"/>
    <x v="3"/>
    <s v="Beer"/>
    <n v="278550"/>
    <n v="3691561"/>
    <n v="7.55"/>
  </r>
  <r>
    <x v="9"/>
    <x v="3"/>
    <x v="3"/>
    <s v="Beer"/>
    <n v="420256"/>
    <n v="5862386"/>
    <n v="7.17"/>
  </r>
  <r>
    <x v="10"/>
    <x v="3"/>
    <x v="3"/>
    <s v="Beer"/>
    <n v="463318"/>
    <n v="5077875"/>
    <n v="9.1199999999999992"/>
  </r>
  <r>
    <x v="11"/>
    <x v="3"/>
    <x v="3"/>
    <s v="Beer"/>
    <n v="74846"/>
    <n v="617880"/>
    <n v="12.11"/>
  </r>
  <r>
    <x v="15"/>
    <x v="3"/>
    <x v="3"/>
    <s v="Beer"/>
    <n v="317276"/>
    <n v="3547474"/>
    <n v="8.94"/>
  </r>
  <r>
    <x v="12"/>
    <x v="3"/>
    <x v="3"/>
    <s v="Beer"/>
    <n v="2608016"/>
    <n v="23257363"/>
    <n v="11.21"/>
  </r>
  <r>
    <x v="13"/>
    <x v="3"/>
    <x v="3"/>
    <s v="Beer"/>
    <n v="551550"/>
    <n v="7094962"/>
    <n v="7.77"/>
  </r>
  <r>
    <x v="0"/>
    <x v="3"/>
    <x v="4"/>
    <s v="Spirits"/>
    <n v="66926"/>
    <n v="589481"/>
    <n v="11.35"/>
  </r>
  <r>
    <x v="1"/>
    <x v="3"/>
    <x v="4"/>
    <s v="Spirits"/>
    <n v="160008"/>
    <n v="2476087"/>
    <n v="6.46"/>
  </r>
  <r>
    <x v="2"/>
    <x v="3"/>
    <x v="4"/>
    <s v="Spirits"/>
    <n v="520984"/>
    <n v="4789291"/>
    <n v="10.88"/>
  </r>
  <r>
    <x v="4"/>
    <x v="3"/>
    <x v="4"/>
    <s v="Spirits"/>
    <n v="1545339"/>
    <n v="18207522"/>
    <n v="8.49"/>
  </r>
  <r>
    <x v="5"/>
    <x v="3"/>
    <x v="4"/>
    <s v="Spirits"/>
    <n v="769949"/>
    <n v="10512479"/>
    <n v="7.32"/>
  </r>
  <r>
    <x v="6"/>
    <x v="3"/>
    <x v="4"/>
    <s v="Spirits"/>
    <n v="145632"/>
    <n v="2371396"/>
    <n v="6.14"/>
  </r>
  <r>
    <x v="7"/>
    <x v="3"/>
    <x v="4"/>
    <s v="Spirits"/>
    <n v="298661"/>
    <n v="3691561"/>
    <n v="8.09"/>
  </r>
  <r>
    <x v="8"/>
    <x v="3"/>
    <x v="4"/>
    <s v="Spirits"/>
    <n v="353603"/>
    <n v="3799736"/>
    <n v="9.31"/>
  </r>
  <r>
    <x v="9"/>
    <x v="3"/>
    <x v="4"/>
    <s v="Spirits"/>
    <n v="539742"/>
    <n v="5862386"/>
    <n v="9.2100000000000009"/>
  </r>
  <r>
    <x v="10"/>
    <x v="3"/>
    <x v="4"/>
    <s v="Spirits"/>
    <n v="500315"/>
    <n v="5077875"/>
    <n v="9.85"/>
  </r>
  <r>
    <x v="11"/>
    <x v="3"/>
    <x v="4"/>
    <s v="Spirits"/>
    <n v="70335"/>
    <n v="617880"/>
    <n v="11.38"/>
  </r>
  <r>
    <x v="12"/>
    <x v="3"/>
    <x v="4"/>
    <s v="Spirits"/>
    <n v="1605685"/>
    <n v="23257363"/>
    <n v="6.9"/>
  </r>
  <r>
    <x v="13"/>
    <x v="3"/>
    <x v="4"/>
    <s v="Spirits"/>
    <n v="490353"/>
    <n v="7094962"/>
    <n v="6.91"/>
  </r>
  <r>
    <x v="14"/>
    <x v="3"/>
    <x v="4"/>
    <s v="Spirits"/>
    <n v="492915"/>
    <n v="4851640"/>
    <n v="10.16"/>
  </r>
  <r>
    <x v="0"/>
    <x v="3"/>
    <x v="4"/>
    <s v="Wine"/>
    <n v="24801"/>
    <n v="589481"/>
    <n v="4.21"/>
  </r>
  <r>
    <x v="1"/>
    <x v="3"/>
    <x v="4"/>
    <s v="Wine"/>
    <n v="59386"/>
    <n v="2476087"/>
    <n v="2.4"/>
  </r>
  <r>
    <x v="2"/>
    <x v="3"/>
    <x v="4"/>
    <s v="Wine"/>
    <n v="185902"/>
    <n v="4789291"/>
    <n v="3.88"/>
  </r>
  <r>
    <x v="4"/>
    <x v="3"/>
    <x v="4"/>
    <s v="Wine"/>
    <n v="705053"/>
    <n v="18207522"/>
    <n v="3.87"/>
  </r>
  <r>
    <x v="5"/>
    <x v="3"/>
    <x v="4"/>
    <s v="Wine"/>
    <n v="388939"/>
    <n v="10512479"/>
    <n v="3.7"/>
  </r>
  <r>
    <x v="7"/>
    <x v="3"/>
    <x v="4"/>
    <s v="Wine"/>
    <n v="76657"/>
    <n v="3691561"/>
    <n v="2.08"/>
  </r>
  <r>
    <x v="8"/>
    <x v="3"/>
    <x v="4"/>
    <s v="Wine"/>
    <n v="110201"/>
    <n v="3799736"/>
    <n v="2.9"/>
  </r>
  <r>
    <x v="9"/>
    <x v="3"/>
    <x v="4"/>
    <s v="Wine"/>
    <n v="298870"/>
    <n v="5862386"/>
    <n v="5.0999999999999996"/>
  </r>
  <r>
    <x v="10"/>
    <x v="3"/>
    <x v="4"/>
    <s v="Wine"/>
    <n v="144330"/>
    <n v="5077875"/>
    <n v="2.84"/>
  </r>
  <r>
    <x v="11"/>
    <x v="3"/>
    <x v="4"/>
    <s v="Wine"/>
    <n v="14775"/>
    <n v="617880"/>
    <n v="2.39"/>
  </r>
  <r>
    <x v="15"/>
    <x v="3"/>
    <x v="4"/>
    <s v="Wine"/>
    <n v="165181"/>
    <n v="3547474"/>
    <n v="4.66"/>
  </r>
  <r>
    <x v="12"/>
    <x v="3"/>
    <x v="4"/>
    <s v="Wine"/>
    <n v="689362"/>
    <n v="23257363"/>
    <n v="2.96"/>
  </r>
  <r>
    <x v="13"/>
    <x v="3"/>
    <x v="4"/>
    <s v="Wine"/>
    <n v="324662"/>
    <n v="7094962"/>
    <n v="4.58"/>
  </r>
  <r>
    <x v="14"/>
    <x v="3"/>
    <x v="4"/>
    <s v="Wine"/>
    <n v="131978"/>
    <n v="4851640"/>
    <n v="2.72"/>
  </r>
  <r>
    <x v="0"/>
    <x v="3"/>
    <x v="4"/>
    <s v="Beer"/>
    <n v="59656"/>
    <n v="589481"/>
    <n v="10.119999999999999"/>
  </r>
  <r>
    <x v="1"/>
    <x v="3"/>
    <x v="4"/>
    <s v="Beer"/>
    <n v="205235"/>
    <n v="2476087"/>
    <n v="8.2899999999999991"/>
  </r>
  <r>
    <x v="2"/>
    <x v="3"/>
    <x v="4"/>
    <s v="Beer"/>
    <n v="505188"/>
    <n v="4789291"/>
    <n v="10.55"/>
  </r>
  <r>
    <x v="4"/>
    <x v="3"/>
    <x v="4"/>
    <s v="Beer"/>
    <n v="1681765"/>
    <n v="18207522"/>
    <n v="9.24"/>
  </r>
  <r>
    <x v="5"/>
    <x v="3"/>
    <x v="4"/>
    <s v="Beer"/>
    <n v="991072"/>
    <n v="10512479"/>
    <n v="9.43"/>
  </r>
  <r>
    <x v="6"/>
    <x v="3"/>
    <x v="4"/>
    <s v="Beer"/>
    <n v="215525"/>
    <n v="2371396"/>
    <n v="9.09"/>
  </r>
  <r>
    <x v="7"/>
    <x v="3"/>
    <x v="4"/>
    <s v="Beer"/>
    <n v="293553"/>
    <n v="3691561"/>
    <n v="7.95"/>
  </r>
  <r>
    <x v="9"/>
    <x v="3"/>
    <x v="4"/>
    <s v="Beer"/>
    <n v="364192"/>
    <n v="5862386"/>
    <n v="6.21"/>
  </r>
  <r>
    <x v="10"/>
    <x v="3"/>
    <x v="4"/>
    <s v="Beer"/>
    <n v="468559"/>
    <n v="5077875"/>
    <n v="9.23"/>
  </r>
  <r>
    <x v="11"/>
    <x v="3"/>
    <x v="4"/>
    <s v="Beer"/>
    <n v="75065"/>
    <n v="617880"/>
    <n v="12.15"/>
  </r>
  <r>
    <x v="15"/>
    <x v="3"/>
    <x v="4"/>
    <s v="Beer"/>
    <n v="366271"/>
    <n v="3547474"/>
    <n v="10.32"/>
  </r>
  <r>
    <x v="12"/>
    <x v="3"/>
    <x v="4"/>
    <s v="Beer"/>
    <n v="2369843"/>
    <n v="23257363"/>
    <n v="10.19"/>
  </r>
  <r>
    <x v="13"/>
    <x v="3"/>
    <x v="4"/>
    <s v="Beer"/>
    <n v="606073"/>
    <n v="7094962"/>
    <n v="8.5399999999999991"/>
  </r>
  <r>
    <x v="0"/>
    <x v="3"/>
    <x v="5"/>
    <s v="Spirits"/>
    <n v="67804"/>
    <n v="589481"/>
    <n v="11.5"/>
  </r>
  <r>
    <x v="1"/>
    <x v="3"/>
    <x v="5"/>
    <s v="Spirits"/>
    <n v="165750"/>
    <n v="2476087"/>
    <n v="6.69"/>
  </r>
  <r>
    <x v="4"/>
    <x v="3"/>
    <x v="5"/>
    <s v="Spirits"/>
    <n v="1980176"/>
    <n v="18207522"/>
    <n v="10.88"/>
  </r>
  <r>
    <x v="5"/>
    <x v="3"/>
    <x v="5"/>
    <s v="Spirits"/>
    <n v="878915"/>
    <n v="10512479"/>
    <n v="8.36"/>
  </r>
  <r>
    <x v="6"/>
    <x v="3"/>
    <x v="5"/>
    <s v="Spirits"/>
    <n v="173307"/>
    <n v="2371396"/>
    <n v="7.31"/>
  </r>
  <r>
    <x v="7"/>
    <x v="3"/>
    <x v="5"/>
    <s v="Spirits"/>
    <n v="305597"/>
    <n v="3691561"/>
    <n v="8.2799999999999994"/>
  </r>
  <r>
    <x v="8"/>
    <x v="3"/>
    <x v="5"/>
    <s v="Spirits"/>
    <n v="350700"/>
    <n v="3799736"/>
    <n v="9.23"/>
  </r>
  <r>
    <x v="9"/>
    <x v="3"/>
    <x v="5"/>
    <s v="Spirits"/>
    <n v="839124"/>
    <n v="5862386"/>
    <n v="14.31"/>
  </r>
  <r>
    <x v="10"/>
    <x v="3"/>
    <x v="5"/>
    <s v="Spirits"/>
    <n v="621026"/>
    <n v="5077875"/>
    <n v="12.23"/>
  </r>
  <r>
    <x v="11"/>
    <x v="3"/>
    <x v="5"/>
    <s v="Spirits"/>
    <n v="96115"/>
    <n v="617880"/>
    <n v="15.56"/>
  </r>
  <r>
    <x v="12"/>
    <x v="3"/>
    <x v="5"/>
    <s v="Spirits"/>
    <n v="1654885"/>
    <n v="23257363"/>
    <n v="7.12"/>
  </r>
  <r>
    <x v="13"/>
    <x v="3"/>
    <x v="5"/>
    <s v="Spirits"/>
    <n v="461143"/>
    <n v="7094962"/>
    <n v="6.5"/>
  </r>
  <r>
    <x v="14"/>
    <x v="3"/>
    <x v="5"/>
    <s v="Spirits"/>
    <n v="512313"/>
    <n v="4851640"/>
    <n v="10.56"/>
  </r>
  <r>
    <x v="0"/>
    <x v="3"/>
    <x v="5"/>
    <s v="Wine"/>
    <n v="27926"/>
    <n v="589481"/>
    <n v="4.74"/>
  </r>
  <r>
    <x v="1"/>
    <x v="3"/>
    <x v="5"/>
    <s v="Wine"/>
    <n v="52474"/>
    <n v="2476087"/>
    <n v="2.12"/>
  </r>
  <r>
    <x v="4"/>
    <x v="3"/>
    <x v="5"/>
    <s v="Wine"/>
    <n v="767066"/>
    <n v="18207522"/>
    <n v="4.21"/>
  </r>
  <r>
    <x v="5"/>
    <x v="3"/>
    <x v="5"/>
    <s v="Wine"/>
    <n v="428974"/>
    <n v="10512479"/>
    <n v="4.08"/>
  </r>
  <r>
    <x v="7"/>
    <x v="3"/>
    <x v="5"/>
    <s v="Wine"/>
    <n v="74745"/>
    <n v="3691561"/>
    <n v="2.02"/>
  </r>
  <r>
    <x v="8"/>
    <x v="3"/>
    <x v="5"/>
    <s v="Wine"/>
    <n v="107478"/>
    <n v="3799736"/>
    <n v="2.83"/>
  </r>
  <r>
    <x v="9"/>
    <x v="3"/>
    <x v="5"/>
    <s v="Wine"/>
    <n v="382119"/>
    <n v="5862386"/>
    <n v="6.52"/>
  </r>
  <r>
    <x v="10"/>
    <x v="3"/>
    <x v="5"/>
    <s v="Wine"/>
    <n v="171219"/>
    <n v="5077875"/>
    <n v="3.37"/>
  </r>
  <r>
    <x v="11"/>
    <x v="3"/>
    <x v="5"/>
    <s v="Wine"/>
    <n v="18461"/>
    <n v="617880"/>
    <n v="2.99"/>
  </r>
  <r>
    <x v="15"/>
    <x v="3"/>
    <x v="5"/>
    <s v="Wine"/>
    <n v="155041"/>
    <n v="3547474"/>
    <n v="4.37"/>
  </r>
  <r>
    <x v="12"/>
    <x v="3"/>
    <x v="5"/>
    <s v="Wine"/>
    <n v="711876"/>
    <n v="23257363"/>
    <n v="3.06"/>
  </r>
  <r>
    <x v="13"/>
    <x v="3"/>
    <x v="5"/>
    <s v="Wine"/>
    <n v="319354"/>
    <n v="7094962"/>
    <n v="4.5"/>
  </r>
  <r>
    <x v="14"/>
    <x v="3"/>
    <x v="5"/>
    <s v="Wine"/>
    <n v="168978"/>
    <n v="4851640"/>
    <n v="3.48"/>
  </r>
  <r>
    <x v="0"/>
    <x v="3"/>
    <x v="5"/>
    <s v="Beer"/>
    <n v="61865"/>
    <n v="589481"/>
    <n v="10.49"/>
  </r>
  <r>
    <x v="1"/>
    <x v="3"/>
    <x v="5"/>
    <s v="Beer"/>
    <n v="193281"/>
    <n v="2476087"/>
    <n v="7.81"/>
  </r>
  <r>
    <x v="4"/>
    <x v="3"/>
    <x v="5"/>
    <s v="Beer"/>
    <n v="1730414"/>
    <n v="18207522"/>
    <n v="9.5"/>
  </r>
  <r>
    <x v="5"/>
    <x v="3"/>
    <x v="5"/>
    <s v="Beer"/>
    <n v="1145954"/>
    <n v="10512479"/>
    <n v="10.9"/>
  </r>
  <r>
    <x v="6"/>
    <x v="3"/>
    <x v="5"/>
    <s v="Beer"/>
    <n v="253615"/>
    <n v="2371396"/>
    <n v="10.69"/>
  </r>
  <r>
    <x v="7"/>
    <x v="3"/>
    <x v="5"/>
    <s v="Beer"/>
    <n v="271886"/>
    <n v="3691561"/>
    <n v="7.37"/>
  </r>
  <r>
    <x v="9"/>
    <x v="3"/>
    <x v="5"/>
    <s v="Beer"/>
    <n v="465088"/>
    <n v="5862386"/>
    <n v="7.93"/>
  </r>
  <r>
    <x v="10"/>
    <x v="3"/>
    <x v="5"/>
    <s v="Beer"/>
    <n v="499493"/>
    <n v="5077875"/>
    <n v="9.84"/>
  </r>
  <r>
    <x v="11"/>
    <x v="3"/>
    <x v="5"/>
    <s v="Beer"/>
    <n v="94113"/>
    <n v="617880"/>
    <n v="15.23"/>
  </r>
  <r>
    <x v="15"/>
    <x v="3"/>
    <x v="5"/>
    <s v="Beer"/>
    <n v="358648"/>
    <n v="3547474"/>
    <n v="10.11"/>
  </r>
  <r>
    <x v="12"/>
    <x v="3"/>
    <x v="5"/>
    <s v="Beer"/>
    <n v="2803068"/>
    <n v="23257363"/>
    <n v="12.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>
  <location ref="J18:N224" firstHeaderRow="1" firstDataRow="2" firstDataCol="1"/>
  <pivotFields count="8"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2"/>
        <item x="13"/>
        <item x="14"/>
        <item t="default"/>
      </items>
    </pivotField>
    <pivotField axis="axisCol" showAll="0">
      <items count="5">
        <item sd="0" x="0"/>
        <item sd="0" x="1"/>
        <item sd="0" x="2"/>
        <item x="3"/>
        <item t="default" sd="0"/>
      </items>
    </pivotField>
    <pivotField numFmtId="16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7"/>
    <field x="0"/>
  </rowFields>
  <rowItems count="205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Sum of Gallons of Ethanol Consumed" fld="4" baseField="0" baseItem="0" numFmtId="166"/>
  </dataFields>
  <formats count="5">
    <format dxfId="85">
      <pivotArea outline="0" collapsedLevelsAreSubtotals="1" fieldPosition="0"/>
    </format>
    <format dxfId="71">
      <pivotArea collapsedLevelsAreSubtotals="1" fieldPosition="0">
        <references count="3">
          <reference field="0" count="2">
            <x v="2"/>
            <x v="3"/>
          </reference>
          <reference field="1" count="1" selected="0">
            <x v="3"/>
          </reference>
          <reference field="7" count="1" selected="0">
            <x v="6"/>
          </reference>
        </references>
      </pivotArea>
    </format>
    <format dxfId="70">
      <pivotArea collapsedLevelsAreSubtotals="1" fieldPosition="0">
        <references count="3">
          <reference field="0" count="1">
            <x v="3"/>
          </reference>
          <reference field="1" count="1" selected="0">
            <x v="3"/>
          </reference>
          <reference field="7" count="1" selected="0">
            <x v="5"/>
          </reference>
        </references>
      </pivotArea>
    </format>
    <format dxfId="51">
      <pivotArea dataOnly="0" labelOnly="1" fieldPosition="0">
        <references count="2">
          <reference field="0" count="1">
            <x v="3"/>
          </reference>
          <reference field="7" count="1" selected="0">
            <x v="5"/>
          </reference>
        </references>
      </pivotArea>
    </format>
    <format dxfId="50">
      <pivotArea dataOnly="0" labelOnly="1" fieldPosition="0">
        <references count="2">
          <reference field="0" count="2">
            <x v="2"/>
            <x v="3"/>
          </reference>
          <reference field="7" count="1" selected="0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>
  <location ref="J5:N13" firstHeaderRow="1" firstDataRow="2" firstDataCol="1"/>
  <pivotFields count="8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2"/>
        <item x="13"/>
        <item x="14"/>
        <item t="default"/>
      </items>
    </pivotField>
    <pivotField axis="axisCol" showAll="0">
      <items count="5">
        <item sd="0" x="0"/>
        <item sd="0" x="1"/>
        <item sd="0" x="2"/>
        <item x="3"/>
        <item t="default" sd="0"/>
      </items>
    </pivotField>
    <pivotField numFmtId="16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showAll="0"/>
    <pivotField showAll="0"/>
    <pivotField showAll="0"/>
    <pivotField axis="axisRow" showAll="0">
      <items count="15">
        <item h="1"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7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Sum of Gallons of Ethanol Consumed" fld="4" baseField="0" baseItem="0" numFmtId="166"/>
  </dataFields>
  <formats count="1">
    <format dxfId="8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G1839" totalsRowShown="0">
  <autoFilter ref="A1:G1839"/>
  <tableColumns count="7">
    <tableColumn id="1" name="State"/>
    <tableColumn id="2" name="Year"/>
    <tableColumn id="3" name="Month" dataDxfId="89"/>
    <tableColumn id="4" name="Alcohol Drink Type"/>
    <tableColumn id="5" name="Gallons of Ethanol Consumed"/>
    <tableColumn id="6" name="Population"/>
    <tableColumn id="7" name="Per Capita Gallons Ethan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839"/>
  <sheetViews>
    <sheetView tabSelected="1" topLeftCell="H67" workbookViewId="0">
      <selection activeCell="V5" sqref="V5"/>
    </sheetView>
  </sheetViews>
  <sheetFormatPr defaultRowHeight="14.25" x14ac:dyDescent="0.45"/>
  <cols>
    <col min="4" max="4" width="17.9296875" customWidth="1"/>
    <col min="5" max="5" width="26.53125" customWidth="1"/>
    <col min="6" max="6" width="11.46484375" customWidth="1"/>
    <col min="7" max="7" width="23.9296875" customWidth="1"/>
    <col min="10" max="10" width="31.19921875" bestFit="1" customWidth="1"/>
    <col min="11" max="11" width="14.73046875" bestFit="1" customWidth="1"/>
    <col min="12" max="14" width="11.86328125" bestFit="1" customWidth="1"/>
    <col min="15" max="15" width="4.53125" customWidth="1"/>
    <col min="16" max="17" width="13.6640625" style="5" customWidth="1"/>
    <col min="18" max="18" width="13.6640625" style="8" customWidth="1"/>
    <col min="19" max="22" width="6.73046875" bestFit="1" customWidth="1"/>
    <col min="23" max="23" width="9.265625" bestFit="1" customWidth="1"/>
    <col min="24" max="26" width="6.73046875" bestFit="1" customWidth="1"/>
    <col min="27" max="27" width="5.73046875" bestFit="1" customWidth="1"/>
    <col min="28" max="29" width="6.73046875" bestFit="1" customWidth="1"/>
    <col min="30" max="30" width="9.265625" bestFit="1" customWidth="1"/>
    <col min="31" max="32" width="6.73046875" bestFit="1" customWidth="1"/>
    <col min="33" max="33" width="5.73046875" bestFit="1" customWidth="1"/>
    <col min="34" max="35" width="6.73046875" bestFit="1" customWidth="1"/>
    <col min="36" max="36" width="9.265625" bestFit="1" customWidth="1"/>
    <col min="37" max="46" width="6.73046875" bestFit="1" customWidth="1"/>
    <col min="47" max="47" width="9.265625" bestFit="1" customWidth="1"/>
    <col min="48" max="50" width="6.73046875" bestFit="1" customWidth="1"/>
    <col min="51" max="51" width="5.73046875" bestFit="1" customWidth="1"/>
    <col min="52" max="53" width="6.73046875" bestFit="1" customWidth="1"/>
    <col min="54" max="54" width="9.265625" bestFit="1" customWidth="1"/>
  </cols>
  <sheetData>
    <row r="1" spans="1:2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20" x14ac:dyDescent="0.45">
      <c r="A2" t="s">
        <v>7</v>
      </c>
      <c r="B2">
        <v>2017</v>
      </c>
      <c r="C2" s="1">
        <v>43831</v>
      </c>
      <c r="D2" t="s">
        <v>8</v>
      </c>
      <c r="E2">
        <v>42598</v>
      </c>
      <c r="F2">
        <v>593378</v>
      </c>
      <c r="G2">
        <v>7.18</v>
      </c>
    </row>
    <row r="3" spans="1:20" x14ac:dyDescent="0.45">
      <c r="A3" t="s">
        <v>9</v>
      </c>
      <c r="B3">
        <v>2017</v>
      </c>
      <c r="C3" s="1">
        <v>43831</v>
      </c>
      <c r="D3" t="s">
        <v>8</v>
      </c>
      <c r="E3">
        <v>165586</v>
      </c>
      <c r="F3">
        <v>2455022</v>
      </c>
      <c r="G3">
        <v>6.74</v>
      </c>
    </row>
    <row r="4" spans="1:20" x14ac:dyDescent="0.45">
      <c r="A4" t="s">
        <v>10</v>
      </c>
      <c r="B4">
        <v>2017</v>
      </c>
      <c r="C4" s="1">
        <v>43831</v>
      </c>
      <c r="D4" t="s">
        <v>8</v>
      </c>
      <c r="E4">
        <v>301615</v>
      </c>
      <c r="F4">
        <v>4634346</v>
      </c>
      <c r="G4">
        <v>6.51</v>
      </c>
    </row>
    <row r="5" spans="1:20" x14ac:dyDescent="0.45">
      <c r="A5" t="s">
        <v>11</v>
      </c>
      <c r="B5">
        <v>2017</v>
      </c>
      <c r="C5" s="1">
        <v>43831</v>
      </c>
      <c r="D5" t="s">
        <v>8</v>
      </c>
      <c r="E5">
        <v>169373</v>
      </c>
      <c r="F5">
        <v>3015481</v>
      </c>
      <c r="G5">
        <v>5.62</v>
      </c>
      <c r="J5" s="2" t="s">
        <v>45</v>
      </c>
      <c r="K5" s="2" t="s">
        <v>40</v>
      </c>
    </row>
    <row r="6" spans="1:20" x14ac:dyDescent="0.45">
      <c r="A6" t="s">
        <v>12</v>
      </c>
      <c r="B6">
        <v>2017</v>
      </c>
      <c r="C6" s="1">
        <v>43831</v>
      </c>
      <c r="D6" t="s">
        <v>8</v>
      </c>
      <c r="E6">
        <v>1138752</v>
      </c>
      <c r="F6">
        <v>17722275</v>
      </c>
      <c r="G6">
        <v>6.43</v>
      </c>
      <c r="J6" s="2" t="s">
        <v>26</v>
      </c>
      <c r="K6">
        <v>2017</v>
      </c>
      <c r="L6">
        <v>2018</v>
      </c>
      <c r="M6">
        <v>2019</v>
      </c>
      <c r="N6">
        <v>2020</v>
      </c>
      <c r="P6" s="5" t="s">
        <v>41</v>
      </c>
      <c r="Q6" s="5" t="s">
        <v>42</v>
      </c>
      <c r="R6" s="8" t="s">
        <v>43</v>
      </c>
    </row>
    <row r="7" spans="1:20" x14ac:dyDescent="0.45">
      <c r="A7" t="s">
        <v>13</v>
      </c>
      <c r="B7">
        <v>2017</v>
      </c>
      <c r="C7" s="1">
        <v>43831</v>
      </c>
      <c r="D7" t="s">
        <v>8</v>
      </c>
      <c r="E7">
        <v>429348</v>
      </c>
      <c r="F7">
        <v>10556100</v>
      </c>
      <c r="G7">
        <v>4.07</v>
      </c>
      <c r="J7" s="3" t="s">
        <v>28</v>
      </c>
      <c r="K7" s="6">
        <v>16531296</v>
      </c>
      <c r="L7" s="6">
        <v>16598180</v>
      </c>
      <c r="M7" s="6">
        <v>17675876</v>
      </c>
      <c r="N7" s="6">
        <v>18333971</v>
      </c>
      <c r="O7" s="6"/>
      <c r="P7" s="7">
        <f>AVERAGE(K7,L7,M7)</f>
        <v>16935117.333333332</v>
      </c>
      <c r="Q7" s="7">
        <f>N7-P7</f>
        <v>1398853.6666666679</v>
      </c>
      <c r="R7" s="8">
        <f>Q7/P7</f>
        <v>8.2600766155502756E-2</v>
      </c>
      <c r="S7" t="str">
        <f>IF(R7&gt;0,"Up","Down")</f>
        <v>Up</v>
      </c>
    </row>
    <row r="8" spans="1:20" x14ac:dyDescent="0.45">
      <c r="A8" t="s">
        <v>14</v>
      </c>
      <c r="B8">
        <v>2017</v>
      </c>
      <c r="C8" s="1">
        <v>43831</v>
      </c>
      <c r="D8" t="s">
        <v>8</v>
      </c>
      <c r="E8">
        <v>159884</v>
      </c>
      <c r="F8">
        <v>2356231</v>
      </c>
      <c r="G8">
        <v>6.79</v>
      </c>
      <c r="J8" s="3" t="s">
        <v>29</v>
      </c>
      <c r="K8" s="6">
        <v>15980214</v>
      </c>
      <c r="L8" s="6">
        <v>15888152</v>
      </c>
      <c r="M8" s="6">
        <v>16125236</v>
      </c>
      <c r="N8" s="6">
        <v>16850692</v>
      </c>
      <c r="O8" s="6"/>
      <c r="P8" s="7">
        <f t="shared" ref="P8:P13" si="0">AVERAGE(K8,L8,M8)</f>
        <v>15997867.333333334</v>
      </c>
      <c r="Q8" s="7">
        <f t="shared" ref="Q8:Q13" si="1">N8-P8</f>
        <v>852824.66666666605</v>
      </c>
      <c r="R8" s="8">
        <f>Q8/P8</f>
        <v>5.3308647265108339E-2</v>
      </c>
      <c r="S8" t="str">
        <f t="shared" ref="S8:S13" si="2">IF(R8&gt;0,"Up","Down")</f>
        <v>Up</v>
      </c>
    </row>
    <row r="9" spans="1:20" x14ac:dyDescent="0.45">
      <c r="A9" t="s">
        <v>15</v>
      </c>
      <c r="B9">
        <v>2017</v>
      </c>
      <c r="C9" s="1">
        <v>43831</v>
      </c>
      <c r="D9" t="s">
        <v>8</v>
      </c>
      <c r="E9">
        <v>320233</v>
      </c>
      <c r="F9">
        <v>3670568</v>
      </c>
      <c r="G9">
        <v>8.7200000000000006</v>
      </c>
      <c r="J9" s="3" t="s">
        <v>30</v>
      </c>
      <c r="K9" s="6">
        <v>18481015</v>
      </c>
      <c r="L9" s="6">
        <v>18014780</v>
      </c>
      <c r="M9" s="6">
        <v>17946274</v>
      </c>
      <c r="N9" s="6">
        <v>18791735</v>
      </c>
      <c r="O9" s="6"/>
      <c r="P9" s="7">
        <f t="shared" si="0"/>
        <v>18147356.333333332</v>
      </c>
      <c r="Q9" s="7">
        <f t="shared" si="1"/>
        <v>644378.66666666791</v>
      </c>
      <c r="R9" s="8">
        <f>Q9/P9</f>
        <v>3.5508128833237472E-2</v>
      </c>
      <c r="S9" t="str">
        <f t="shared" si="2"/>
        <v>Up</v>
      </c>
    </row>
    <row r="10" spans="1:20" x14ac:dyDescent="0.45">
      <c r="A10" t="s">
        <v>16</v>
      </c>
      <c r="B10">
        <v>2017</v>
      </c>
      <c r="C10" s="1">
        <v>43831</v>
      </c>
      <c r="D10" t="s">
        <v>8</v>
      </c>
      <c r="E10">
        <v>260209</v>
      </c>
      <c r="F10">
        <v>3807282</v>
      </c>
      <c r="G10">
        <v>6.83</v>
      </c>
      <c r="J10" s="3" t="s">
        <v>31</v>
      </c>
      <c r="K10" s="6">
        <v>18307907</v>
      </c>
      <c r="L10" s="6">
        <v>18055258</v>
      </c>
      <c r="M10" s="6">
        <v>18746757</v>
      </c>
      <c r="N10" s="6">
        <v>18972669</v>
      </c>
      <c r="O10" s="6"/>
      <c r="P10" s="7">
        <f t="shared" si="0"/>
        <v>18369974</v>
      </c>
      <c r="Q10" s="7">
        <f t="shared" si="1"/>
        <v>602695</v>
      </c>
      <c r="R10" s="8">
        <f>Q10/P10</f>
        <v>3.280870185227263E-2</v>
      </c>
      <c r="S10" t="str">
        <f t="shared" si="2"/>
        <v>Up</v>
      </c>
    </row>
    <row r="11" spans="1:20" x14ac:dyDescent="0.45">
      <c r="A11" t="s">
        <v>17</v>
      </c>
      <c r="B11">
        <v>2017</v>
      </c>
      <c r="C11" s="1">
        <v>43831</v>
      </c>
      <c r="D11" t="s">
        <v>8</v>
      </c>
      <c r="E11">
        <v>213751</v>
      </c>
      <c r="F11">
        <v>5815595</v>
      </c>
      <c r="G11">
        <v>3.68</v>
      </c>
      <c r="J11" s="3" t="s">
        <v>32</v>
      </c>
      <c r="K11" s="6">
        <v>19411535</v>
      </c>
      <c r="L11" s="6">
        <v>20215646</v>
      </c>
      <c r="M11" s="6">
        <v>20240380</v>
      </c>
      <c r="N11" s="6">
        <v>19082541</v>
      </c>
      <c r="O11" s="6"/>
      <c r="P11" s="7">
        <f t="shared" si="0"/>
        <v>19955853.666666668</v>
      </c>
      <c r="Q11" s="7">
        <f t="shared" si="1"/>
        <v>-873312.66666666791</v>
      </c>
      <c r="R11" s="8">
        <f>Q11/P11</f>
        <v>-4.3762230433940737E-2</v>
      </c>
      <c r="S11" t="str">
        <f t="shared" si="2"/>
        <v>Down</v>
      </c>
      <c r="T11" t="s">
        <v>44</v>
      </c>
    </row>
    <row r="12" spans="1:20" x14ac:dyDescent="0.45">
      <c r="A12" t="s">
        <v>18</v>
      </c>
      <c r="B12">
        <v>2017</v>
      </c>
      <c r="C12" s="1">
        <v>43831</v>
      </c>
      <c r="D12" t="s">
        <v>8</v>
      </c>
      <c r="E12">
        <v>260521</v>
      </c>
      <c r="F12">
        <v>5037634</v>
      </c>
      <c r="G12">
        <v>5.17</v>
      </c>
      <c r="J12" s="3" t="s">
        <v>33</v>
      </c>
      <c r="K12" s="6">
        <v>21796381</v>
      </c>
      <c r="L12" s="6">
        <v>21440173</v>
      </c>
      <c r="M12" s="6">
        <v>21022400</v>
      </c>
      <c r="N12" s="6">
        <v>19369991</v>
      </c>
      <c r="O12" s="6"/>
      <c r="P12" s="7">
        <f t="shared" si="0"/>
        <v>21419651.333333332</v>
      </c>
      <c r="Q12" s="7">
        <f t="shared" si="1"/>
        <v>-2049660.3333333321</v>
      </c>
      <c r="R12" s="8">
        <f>Q12/P12</f>
        <v>-9.5690648808257867E-2</v>
      </c>
      <c r="S12" t="str">
        <f t="shared" si="2"/>
        <v>Down</v>
      </c>
    </row>
    <row r="13" spans="1:20" x14ac:dyDescent="0.45">
      <c r="A13" t="s">
        <v>19</v>
      </c>
      <c r="B13">
        <v>2017</v>
      </c>
      <c r="C13" s="1">
        <v>43831</v>
      </c>
      <c r="D13" t="s">
        <v>8</v>
      </c>
      <c r="E13">
        <v>50920</v>
      </c>
      <c r="F13">
        <v>613251</v>
      </c>
      <c r="G13">
        <v>8.3000000000000007</v>
      </c>
      <c r="J13" s="3" t="s">
        <v>27</v>
      </c>
      <c r="K13" s="6">
        <v>110508348</v>
      </c>
      <c r="L13" s="6">
        <v>110212189</v>
      </c>
      <c r="M13" s="6">
        <v>111756923</v>
      </c>
      <c r="N13" s="6">
        <v>111401599</v>
      </c>
      <c r="O13" s="6"/>
      <c r="P13" s="7">
        <f t="shared" si="0"/>
        <v>110825820</v>
      </c>
      <c r="Q13" s="7">
        <f t="shared" si="1"/>
        <v>575779</v>
      </c>
      <c r="R13" s="8">
        <f>Q13/P13</f>
        <v>5.1953506863292327E-3</v>
      </c>
      <c r="S13" t="str">
        <f t="shared" si="2"/>
        <v>Up</v>
      </c>
    </row>
    <row r="14" spans="1:20" x14ac:dyDescent="0.45">
      <c r="A14" t="s">
        <v>20</v>
      </c>
      <c r="B14">
        <v>2017</v>
      </c>
      <c r="C14" s="1">
        <v>43831</v>
      </c>
      <c r="D14" t="s">
        <v>8</v>
      </c>
      <c r="E14">
        <v>1701992</v>
      </c>
      <c r="F14">
        <v>22572383</v>
      </c>
      <c r="G14">
        <v>7.54</v>
      </c>
    </row>
    <row r="15" spans="1:20" x14ac:dyDescent="0.45">
      <c r="A15" t="s">
        <v>21</v>
      </c>
      <c r="B15">
        <v>2017</v>
      </c>
      <c r="C15" s="1">
        <v>43831</v>
      </c>
      <c r="D15" t="s">
        <v>8</v>
      </c>
      <c r="E15">
        <v>332039</v>
      </c>
      <c r="F15">
        <v>7015247</v>
      </c>
      <c r="G15">
        <v>4.7300000000000004</v>
      </c>
    </row>
    <row r="16" spans="1:20" x14ac:dyDescent="0.45">
      <c r="A16" t="s">
        <v>22</v>
      </c>
      <c r="B16">
        <v>2017</v>
      </c>
      <c r="C16" s="1">
        <v>43831</v>
      </c>
      <c r="D16" t="s">
        <v>8</v>
      </c>
      <c r="E16">
        <v>570352</v>
      </c>
      <c r="F16">
        <v>4805415</v>
      </c>
      <c r="G16">
        <v>11.87</v>
      </c>
    </row>
    <row r="17" spans="1:19" x14ac:dyDescent="0.45">
      <c r="A17" t="s">
        <v>7</v>
      </c>
      <c r="B17">
        <v>2017</v>
      </c>
      <c r="C17" s="1">
        <v>43831</v>
      </c>
      <c r="D17" t="s">
        <v>23</v>
      </c>
      <c r="E17">
        <v>18124</v>
      </c>
      <c r="F17">
        <v>593378</v>
      </c>
      <c r="G17">
        <v>3.05</v>
      </c>
    </row>
    <row r="18" spans="1:19" x14ac:dyDescent="0.45">
      <c r="A18" t="s">
        <v>9</v>
      </c>
      <c r="B18">
        <v>2017</v>
      </c>
      <c r="C18" s="1">
        <v>43831</v>
      </c>
      <c r="D18" t="s">
        <v>23</v>
      </c>
      <c r="E18">
        <v>58236</v>
      </c>
      <c r="F18">
        <v>2455022</v>
      </c>
      <c r="G18">
        <v>2.37</v>
      </c>
      <c r="J18" s="2" t="s">
        <v>45</v>
      </c>
      <c r="K18" s="2" t="s">
        <v>40</v>
      </c>
      <c r="P18" s="11" t="s">
        <v>46</v>
      </c>
    </row>
    <row r="19" spans="1:19" x14ac:dyDescent="0.45">
      <c r="A19" t="s">
        <v>10</v>
      </c>
      <c r="B19">
        <v>2017</v>
      </c>
      <c r="C19" s="1">
        <v>43831</v>
      </c>
      <c r="D19" t="s">
        <v>23</v>
      </c>
      <c r="E19">
        <v>147961</v>
      </c>
      <c r="F19">
        <v>4634346</v>
      </c>
      <c r="G19">
        <v>3.19</v>
      </c>
      <c r="J19" s="2" t="s">
        <v>26</v>
      </c>
      <c r="K19">
        <v>2017</v>
      </c>
      <c r="L19">
        <v>2018</v>
      </c>
      <c r="M19">
        <v>2019</v>
      </c>
      <c r="N19">
        <v>2020</v>
      </c>
      <c r="P19" s="5" t="s">
        <v>41</v>
      </c>
      <c r="Q19" s="5" t="s">
        <v>42</v>
      </c>
      <c r="R19" s="8" t="s">
        <v>43</v>
      </c>
    </row>
    <row r="20" spans="1:19" x14ac:dyDescent="0.45">
      <c r="A20" t="s">
        <v>11</v>
      </c>
      <c r="B20">
        <v>2017</v>
      </c>
      <c r="C20" s="1">
        <v>43831</v>
      </c>
      <c r="D20" t="s">
        <v>23</v>
      </c>
      <c r="E20">
        <v>102520</v>
      </c>
      <c r="F20">
        <v>3015481</v>
      </c>
      <c r="G20">
        <v>3.4</v>
      </c>
      <c r="J20" s="3" t="s">
        <v>28</v>
      </c>
      <c r="K20" s="9">
        <v>16531296</v>
      </c>
      <c r="L20" s="9">
        <v>16598180</v>
      </c>
      <c r="M20" s="9">
        <v>17675876</v>
      </c>
      <c r="N20" s="9">
        <v>18333971</v>
      </c>
      <c r="P20" s="7">
        <f>AVERAGE(K20,L20,M20)</f>
        <v>16935117.333333332</v>
      </c>
      <c r="Q20" s="7">
        <f>N20-P20</f>
        <v>1398853.6666666679</v>
      </c>
      <c r="R20" s="8">
        <f>Q20/P20</f>
        <v>8.2600766155502756E-2</v>
      </c>
      <c r="S20" t="str">
        <f>IF(R20&gt;0,"Up","Down")</f>
        <v>Up</v>
      </c>
    </row>
    <row r="21" spans="1:19" x14ac:dyDescent="0.45">
      <c r="A21" t="s">
        <v>12</v>
      </c>
      <c r="B21">
        <v>2017</v>
      </c>
      <c r="C21" s="1">
        <v>43831</v>
      </c>
      <c r="D21" t="s">
        <v>23</v>
      </c>
      <c r="E21">
        <v>736068</v>
      </c>
      <c r="F21">
        <v>17722275</v>
      </c>
      <c r="G21">
        <v>4.1500000000000004</v>
      </c>
      <c r="J21" s="4" t="s">
        <v>7</v>
      </c>
      <c r="K21" s="9">
        <v>96155</v>
      </c>
      <c r="L21" s="9">
        <v>97280</v>
      </c>
      <c r="M21" s="9">
        <v>104735</v>
      </c>
      <c r="N21" s="9">
        <v>107872</v>
      </c>
      <c r="P21" s="7">
        <f t="shared" ref="P21:P36" si="3">AVERAGE(K21,L21,M21)</f>
        <v>99390</v>
      </c>
      <c r="Q21" s="7">
        <f t="shared" ref="Q21:Q36" si="4">N21-P21</f>
        <v>8482</v>
      </c>
      <c r="R21" s="8">
        <f>Q21/P21</f>
        <v>8.5340577522889621E-2</v>
      </c>
      <c r="S21" t="str">
        <f t="shared" ref="S21:S84" si="5">IF(R21&gt;0,"Up","Down")</f>
        <v>Up</v>
      </c>
    </row>
    <row r="22" spans="1:19" x14ac:dyDescent="0.45">
      <c r="A22" t="s">
        <v>13</v>
      </c>
      <c r="B22">
        <v>2017</v>
      </c>
      <c r="C22" s="1">
        <v>43831</v>
      </c>
      <c r="D22" t="s">
        <v>23</v>
      </c>
      <c r="E22">
        <v>272698</v>
      </c>
      <c r="F22">
        <v>10556100</v>
      </c>
      <c r="G22">
        <v>2.58</v>
      </c>
      <c r="J22" s="4" t="s">
        <v>9</v>
      </c>
      <c r="K22" s="9">
        <v>376831</v>
      </c>
      <c r="L22" s="9">
        <v>347213</v>
      </c>
      <c r="M22" s="9">
        <v>306765</v>
      </c>
      <c r="N22" s="9">
        <v>327178</v>
      </c>
      <c r="P22" s="7">
        <f t="shared" si="3"/>
        <v>343603</v>
      </c>
      <c r="Q22" s="7">
        <f t="shared" si="4"/>
        <v>-16425</v>
      </c>
      <c r="R22" s="8">
        <f>Q22/P22</f>
        <v>-4.7802260166529394E-2</v>
      </c>
      <c r="S22" t="str">
        <f t="shared" si="5"/>
        <v>Down</v>
      </c>
    </row>
    <row r="23" spans="1:19" x14ac:dyDescent="0.45">
      <c r="A23" t="s">
        <v>15</v>
      </c>
      <c r="B23">
        <v>2017</v>
      </c>
      <c r="C23" s="1">
        <v>43831</v>
      </c>
      <c r="D23" t="s">
        <v>23</v>
      </c>
      <c r="E23">
        <v>95011</v>
      </c>
      <c r="F23">
        <v>3670568</v>
      </c>
      <c r="G23">
        <v>2.59</v>
      </c>
      <c r="J23" s="4" t="s">
        <v>10</v>
      </c>
      <c r="K23" s="9">
        <v>817722</v>
      </c>
      <c r="L23" s="9">
        <v>862183</v>
      </c>
      <c r="M23" s="9">
        <v>972929</v>
      </c>
      <c r="N23" s="9">
        <v>932783</v>
      </c>
      <c r="P23" s="7">
        <f t="shared" si="3"/>
        <v>884278</v>
      </c>
      <c r="Q23" s="7">
        <f t="shared" si="4"/>
        <v>48505</v>
      </c>
      <c r="R23" s="8">
        <f>Q23/P23</f>
        <v>5.4852659457772332E-2</v>
      </c>
      <c r="S23" t="str">
        <f t="shared" si="5"/>
        <v>Up</v>
      </c>
    </row>
    <row r="24" spans="1:19" x14ac:dyDescent="0.45">
      <c r="A24" t="s">
        <v>16</v>
      </c>
      <c r="B24">
        <v>2017</v>
      </c>
      <c r="C24" s="1">
        <v>43831</v>
      </c>
      <c r="D24" t="s">
        <v>23</v>
      </c>
      <c r="E24">
        <v>89234</v>
      </c>
      <c r="F24">
        <v>3807282</v>
      </c>
      <c r="G24">
        <v>2.34</v>
      </c>
      <c r="J24" s="4" t="s">
        <v>11</v>
      </c>
      <c r="K24" s="9">
        <v>427144</v>
      </c>
      <c r="L24" s="9">
        <v>454592</v>
      </c>
      <c r="M24" s="9">
        <v>618878</v>
      </c>
      <c r="N24" s="9">
        <v>634464</v>
      </c>
      <c r="P24" s="7">
        <f t="shared" si="3"/>
        <v>500204.66666666669</v>
      </c>
      <c r="Q24" s="7">
        <f t="shared" si="4"/>
        <v>134259.33333333331</v>
      </c>
      <c r="R24" s="8">
        <f>Q24/P24</f>
        <v>0.26840879799868583</v>
      </c>
      <c r="S24" t="str">
        <f t="shared" si="5"/>
        <v>Up</v>
      </c>
    </row>
    <row r="25" spans="1:19" x14ac:dyDescent="0.45">
      <c r="A25" t="s">
        <v>17</v>
      </c>
      <c r="B25">
        <v>2017</v>
      </c>
      <c r="C25" s="1">
        <v>43831</v>
      </c>
      <c r="D25" t="s">
        <v>23</v>
      </c>
      <c r="E25">
        <v>173229</v>
      </c>
      <c r="F25">
        <v>5815595</v>
      </c>
      <c r="G25">
        <v>2.98</v>
      </c>
      <c r="J25" s="4" t="s">
        <v>12</v>
      </c>
      <c r="K25" s="9">
        <v>3234734</v>
      </c>
      <c r="L25" s="9">
        <v>3419134</v>
      </c>
      <c r="M25" s="9">
        <v>3632190</v>
      </c>
      <c r="N25" s="9">
        <v>3739538</v>
      </c>
      <c r="P25" s="7">
        <f t="shared" si="3"/>
        <v>3428686</v>
      </c>
      <c r="Q25" s="7">
        <f t="shared" si="4"/>
        <v>310852</v>
      </c>
      <c r="R25" s="8">
        <f>Q25/P25</f>
        <v>9.0662137040253901E-2</v>
      </c>
      <c r="S25" t="str">
        <f t="shared" si="5"/>
        <v>Up</v>
      </c>
    </row>
    <row r="26" spans="1:19" x14ac:dyDescent="0.45">
      <c r="A26" t="s">
        <v>18</v>
      </c>
      <c r="B26">
        <v>2017</v>
      </c>
      <c r="C26" s="1">
        <v>43831</v>
      </c>
      <c r="D26" t="s">
        <v>23</v>
      </c>
      <c r="E26">
        <v>125437</v>
      </c>
      <c r="F26">
        <v>5037634</v>
      </c>
      <c r="G26">
        <v>2.4900000000000002</v>
      </c>
      <c r="J26" s="4" t="s">
        <v>13</v>
      </c>
      <c r="K26" s="9">
        <v>1418571</v>
      </c>
      <c r="L26" s="9">
        <v>1490082</v>
      </c>
      <c r="M26" s="9">
        <v>1438331</v>
      </c>
      <c r="N26" s="9">
        <v>1610536</v>
      </c>
      <c r="P26" s="7">
        <f t="shared" si="3"/>
        <v>1448994.6666666667</v>
      </c>
      <c r="Q26" s="7">
        <f t="shared" si="4"/>
        <v>161541.33333333326</v>
      </c>
      <c r="R26" s="8">
        <f>Q26/P26</f>
        <v>0.11148511243657666</v>
      </c>
      <c r="S26" t="str">
        <f t="shared" si="5"/>
        <v>Up</v>
      </c>
    </row>
    <row r="27" spans="1:19" x14ac:dyDescent="0.45">
      <c r="A27" t="s">
        <v>19</v>
      </c>
      <c r="B27">
        <v>2017</v>
      </c>
      <c r="C27" s="1">
        <v>43831</v>
      </c>
      <c r="D27" t="s">
        <v>23</v>
      </c>
      <c r="E27">
        <v>12481</v>
      </c>
      <c r="F27">
        <v>613251</v>
      </c>
      <c r="G27">
        <v>2.04</v>
      </c>
      <c r="J27" s="4" t="s">
        <v>14</v>
      </c>
      <c r="K27" s="9">
        <v>347715</v>
      </c>
      <c r="L27" s="9">
        <v>283750</v>
      </c>
      <c r="M27" s="9">
        <v>330185</v>
      </c>
      <c r="N27" s="9">
        <v>337118</v>
      </c>
      <c r="P27" s="7">
        <f t="shared" ref="P27:P90" si="6">AVERAGE(K27,L27,M27)</f>
        <v>320550</v>
      </c>
      <c r="Q27" s="7">
        <f t="shared" ref="Q27:Q90" si="7">N27-P27</f>
        <v>16568</v>
      </c>
      <c r="R27" s="8">
        <f t="shared" ref="R27:R90" si="8">Q27/P27</f>
        <v>5.1686164404929028E-2</v>
      </c>
      <c r="S27" t="str">
        <f t="shared" si="5"/>
        <v>Up</v>
      </c>
    </row>
    <row r="28" spans="1:19" x14ac:dyDescent="0.45">
      <c r="A28" t="s">
        <v>24</v>
      </c>
      <c r="B28">
        <v>2017</v>
      </c>
      <c r="C28" s="1">
        <v>43831</v>
      </c>
      <c r="D28" t="s">
        <v>23</v>
      </c>
      <c r="E28">
        <v>190443</v>
      </c>
      <c r="F28">
        <v>3468412</v>
      </c>
      <c r="G28">
        <v>5.49</v>
      </c>
      <c r="J28" s="4" t="s">
        <v>15</v>
      </c>
      <c r="K28" s="9">
        <v>683424</v>
      </c>
      <c r="L28" s="9">
        <v>644390</v>
      </c>
      <c r="M28" s="9">
        <v>803669</v>
      </c>
      <c r="N28" s="9">
        <v>717151</v>
      </c>
      <c r="P28" s="7">
        <f t="shared" si="6"/>
        <v>710494.33333333337</v>
      </c>
      <c r="Q28" s="7">
        <f t="shared" si="7"/>
        <v>6656.6666666666279</v>
      </c>
      <c r="R28" s="8">
        <f t="shared" si="8"/>
        <v>9.3690636988424877E-3</v>
      </c>
      <c r="S28" t="str">
        <f t="shared" si="5"/>
        <v>Up</v>
      </c>
    </row>
    <row r="29" spans="1:19" x14ac:dyDescent="0.45">
      <c r="A29" t="s">
        <v>20</v>
      </c>
      <c r="B29">
        <v>2017</v>
      </c>
      <c r="C29" s="1">
        <v>43831</v>
      </c>
      <c r="D29" t="s">
        <v>23</v>
      </c>
      <c r="E29">
        <v>776833</v>
      </c>
      <c r="F29">
        <v>22572383</v>
      </c>
      <c r="G29">
        <v>3.44</v>
      </c>
      <c r="J29" s="4" t="s">
        <v>16</v>
      </c>
      <c r="K29" s="9">
        <v>349443</v>
      </c>
      <c r="L29" s="9">
        <v>387866</v>
      </c>
      <c r="M29" s="9">
        <v>323545</v>
      </c>
      <c r="N29" s="9">
        <v>408163</v>
      </c>
      <c r="P29" s="7">
        <f t="shared" si="6"/>
        <v>353618</v>
      </c>
      <c r="Q29" s="7">
        <f t="shared" si="7"/>
        <v>54545</v>
      </c>
      <c r="R29" s="8">
        <f t="shared" si="8"/>
        <v>0.15424836970968672</v>
      </c>
      <c r="S29" t="str">
        <f t="shared" si="5"/>
        <v>Up</v>
      </c>
    </row>
    <row r="30" spans="1:19" x14ac:dyDescent="0.45">
      <c r="A30" t="s">
        <v>21</v>
      </c>
      <c r="B30">
        <v>2017</v>
      </c>
      <c r="C30" s="1">
        <v>43831</v>
      </c>
      <c r="D30" t="s">
        <v>23</v>
      </c>
      <c r="E30">
        <v>242496</v>
      </c>
      <c r="F30">
        <v>7015247</v>
      </c>
      <c r="G30">
        <v>3.46</v>
      </c>
      <c r="J30" s="4" t="s">
        <v>17</v>
      </c>
      <c r="K30" s="9">
        <v>755332</v>
      </c>
      <c r="L30" s="9">
        <v>835449</v>
      </c>
      <c r="M30" s="9">
        <v>862353</v>
      </c>
      <c r="N30" s="9">
        <v>903903</v>
      </c>
      <c r="P30" s="7">
        <f t="shared" si="6"/>
        <v>817711.33333333337</v>
      </c>
      <c r="Q30" s="7">
        <f t="shared" si="7"/>
        <v>86191.666666666628</v>
      </c>
      <c r="R30" s="8">
        <f t="shared" si="8"/>
        <v>0.10540598271435636</v>
      </c>
      <c r="S30" t="str">
        <f t="shared" si="5"/>
        <v>Up</v>
      </c>
    </row>
    <row r="31" spans="1:19" x14ac:dyDescent="0.45">
      <c r="A31" t="s">
        <v>22</v>
      </c>
      <c r="B31">
        <v>2017</v>
      </c>
      <c r="C31" s="1">
        <v>43831</v>
      </c>
      <c r="D31" t="s">
        <v>23</v>
      </c>
      <c r="E31">
        <v>164756</v>
      </c>
      <c r="F31">
        <v>4805415</v>
      </c>
      <c r="G31">
        <v>3.43</v>
      </c>
      <c r="J31" s="4" t="s">
        <v>18</v>
      </c>
      <c r="K31" s="9">
        <v>812306</v>
      </c>
      <c r="L31" s="9">
        <v>810134</v>
      </c>
      <c r="M31" s="9">
        <v>893644</v>
      </c>
      <c r="N31" s="9">
        <v>878139</v>
      </c>
      <c r="P31" s="7">
        <f t="shared" si="6"/>
        <v>838694.66666666663</v>
      </c>
      <c r="Q31" s="7">
        <f t="shared" si="7"/>
        <v>39444.333333333372</v>
      </c>
      <c r="R31" s="8">
        <f t="shared" si="8"/>
        <v>4.7030623778856397E-2</v>
      </c>
      <c r="S31" t="str">
        <f t="shared" si="5"/>
        <v>Up</v>
      </c>
    </row>
    <row r="32" spans="1:19" x14ac:dyDescent="0.45">
      <c r="A32" t="s">
        <v>7</v>
      </c>
      <c r="B32">
        <v>2017</v>
      </c>
      <c r="C32" s="1">
        <v>43831</v>
      </c>
      <c r="D32" t="s">
        <v>25</v>
      </c>
      <c r="E32">
        <v>35433</v>
      </c>
      <c r="F32">
        <v>593378</v>
      </c>
      <c r="G32">
        <v>5.97</v>
      </c>
      <c r="J32" s="4" t="s">
        <v>19</v>
      </c>
      <c r="K32" s="9">
        <v>130006</v>
      </c>
      <c r="L32" s="9">
        <v>138211</v>
      </c>
      <c r="M32" s="9">
        <v>137271</v>
      </c>
      <c r="N32" s="9">
        <v>136593</v>
      </c>
      <c r="P32" s="7">
        <f t="shared" si="6"/>
        <v>135162.66666666666</v>
      </c>
      <c r="Q32" s="7">
        <f t="shared" si="7"/>
        <v>1430.333333333343</v>
      </c>
      <c r="R32" s="8">
        <f t="shared" si="8"/>
        <v>1.0582310697234023E-2</v>
      </c>
      <c r="S32" t="str">
        <f t="shared" si="5"/>
        <v>Up</v>
      </c>
    </row>
    <row r="33" spans="1:19" x14ac:dyDescent="0.45">
      <c r="A33" t="s">
        <v>9</v>
      </c>
      <c r="B33">
        <v>2017</v>
      </c>
      <c r="C33" s="1">
        <v>43831</v>
      </c>
      <c r="D33" t="s">
        <v>25</v>
      </c>
      <c r="E33">
        <v>153009</v>
      </c>
      <c r="F33">
        <v>2455022</v>
      </c>
      <c r="G33">
        <v>6.23</v>
      </c>
      <c r="J33" s="4" t="s">
        <v>24</v>
      </c>
      <c r="K33" s="9">
        <v>463761</v>
      </c>
      <c r="L33" s="9">
        <v>437051</v>
      </c>
      <c r="M33" s="9">
        <v>502278</v>
      </c>
      <c r="N33" s="9">
        <v>468721</v>
      </c>
      <c r="P33" s="7">
        <f t="shared" si="6"/>
        <v>467696.66666666669</v>
      </c>
      <c r="Q33" s="7">
        <f t="shared" si="7"/>
        <v>1024.3333333333139</v>
      </c>
      <c r="R33" s="8">
        <f t="shared" si="8"/>
        <v>2.1901659907774566E-3</v>
      </c>
      <c r="S33" t="str">
        <f t="shared" si="5"/>
        <v>Up</v>
      </c>
    </row>
    <row r="34" spans="1:19" x14ac:dyDescent="0.45">
      <c r="A34" t="s">
        <v>10</v>
      </c>
      <c r="B34">
        <v>2017</v>
      </c>
      <c r="C34" s="1">
        <v>43831</v>
      </c>
      <c r="D34" t="s">
        <v>25</v>
      </c>
      <c r="E34">
        <v>368146</v>
      </c>
      <c r="F34">
        <v>4634346</v>
      </c>
      <c r="G34">
        <v>7.94</v>
      </c>
      <c r="J34" s="4" t="s">
        <v>20</v>
      </c>
      <c r="K34" s="9">
        <v>4846257</v>
      </c>
      <c r="L34" s="9">
        <v>4610260</v>
      </c>
      <c r="M34" s="9">
        <v>4862878</v>
      </c>
      <c r="N34" s="9">
        <v>5211015</v>
      </c>
      <c r="P34" s="7">
        <f t="shared" si="6"/>
        <v>4773131.666666667</v>
      </c>
      <c r="Q34" s="7">
        <f t="shared" si="7"/>
        <v>437883.33333333302</v>
      </c>
      <c r="R34" s="8">
        <f t="shared" si="8"/>
        <v>9.1739211049070082E-2</v>
      </c>
      <c r="S34" t="str">
        <f t="shared" si="5"/>
        <v>Up</v>
      </c>
    </row>
    <row r="35" spans="1:19" x14ac:dyDescent="0.45">
      <c r="A35" t="s">
        <v>11</v>
      </c>
      <c r="B35">
        <v>2017</v>
      </c>
      <c r="C35" s="1">
        <v>43831</v>
      </c>
      <c r="D35" t="s">
        <v>25</v>
      </c>
      <c r="E35">
        <v>155251</v>
      </c>
      <c r="F35">
        <v>3015481</v>
      </c>
      <c r="G35">
        <v>5.15</v>
      </c>
      <c r="J35" s="4" t="s">
        <v>21</v>
      </c>
      <c r="K35" s="9">
        <v>1036787</v>
      </c>
      <c r="L35" s="9">
        <v>1060453</v>
      </c>
      <c r="M35" s="9">
        <v>1116732</v>
      </c>
      <c r="N35" s="9">
        <v>1134676</v>
      </c>
      <c r="P35" s="7">
        <f t="shared" si="6"/>
        <v>1071324</v>
      </c>
      <c r="Q35" s="7">
        <f t="shared" si="7"/>
        <v>63352</v>
      </c>
      <c r="R35" s="8">
        <f t="shared" si="8"/>
        <v>5.9134304841485866E-2</v>
      </c>
      <c r="S35" t="str">
        <f t="shared" si="5"/>
        <v>Up</v>
      </c>
    </row>
    <row r="36" spans="1:19" x14ac:dyDescent="0.45">
      <c r="A36" t="s">
        <v>12</v>
      </c>
      <c r="B36">
        <v>2017</v>
      </c>
      <c r="C36" s="1">
        <v>43831</v>
      </c>
      <c r="D36" t="s">
        <v>25</v>
      </c>
      <c r="E36">
        <v>1359914</v>
      </c>
      <c r="F36">
        <v>17722275</v>
      </c>
      <c r="G36">
        <v>7.67</v>
      </c>
      <c r="J36" s="4" t="s">
        <v>22</v>
      </c>
      <c r="K36" s="9">
        <v>735108</v>
      </c>
      <c r="L36" s="9">
        <v>720132</v>
      </c>
      <c r="M36" s="9">
        <v>769493</v>
      </c>
      <c r="N36" s="9">
        <v>786121</v>
      </c>
      <c r="P36" s="7">
        <f t="shared" si="6"/>
        <v>741577.66666666663</v>
      </c>
      <c r="Q36" s="7">
        <f t="shared" si="7"/>
        <v>44543.333333333372</v>
      </c>
      <c r="R36" s="8">
        <f t="shared" si="8"/>
        <v>6.0065634842473285E-2</v>
      </c>
      <c r="S36" t="str">
        <f t="shared" si="5"/>
        <v>Up</v>
      </c>
    </row>
    <row r="37" spans="1:19" x14ac:dyDescent="0.45">
      <c r="A37" t="s">
        <v>13</v>
      </c>
      <c r="B37">
        <v>2017</v>
      </c>
      <c r="C37" s="1">
        <v>43831</v>
      </c>
      <c r="D37" t="s">
        <v>25</v>
      </c>
      <c r="E37">
        <v>716525</v>
      </c>
      <c r="F37">
        <v>10556100</v>
      </c>
      <c r="G37">
        <v>6.79</v>
      </c>
      <c r="J37" s="3" t="s">
        <v>29</v>
      </c>
      <c r="K37" s="9">
        <v>15980214</v>
      </c>
      <c r="L37" s="9">
        <v>15888152</v>
      </c>
      <c r="M37" s="9">
        <v>16125236</v>
      </c>
      <c r="N37" s="9">
        <v>16850692</v>
      </c>
      <c r="P37" s="7">
        <f t="shared" si="6"/>
        <v>15997867.333333334</v>
      </c>
      <c r="Q37" s="7">
        <f t="shared" si="7"/>
        <v>852824.66666666605</v>
      </c>
      <c r="R37" s="8">
        <f t="shared" si="8"/>
        <v>5.3308647265108339E-2</v>
      </c>
      <c r="S37" t="str">
        <f t="shared" si="5"/>
        <v>Up</v>
      </c>
    </row>
    <row r="38" spans="1:19" x14ac:dyDescent="0.45">
      <c r="A38" t="s">
        <v>14</v>
      </c>
      <c r="B38">
        <v>2017</v>
      </c>
      <c r="C38" s="1">
        <v>43831</v>
      </c>
      <c r="D38" t="s">
        <v>25</v>
      </c>
      <c r="E38">
        <v>187831</v>
      </c>
      <c r="F38">
        <v>2356231</v>
      </c>
      <c r="G38">
        <v>7.97</v>
      </c>
      <c r="J38" s="4" t="s">
        <v>7</v>
      </c>
      <c r="K38" s="9">
        <v>108795</v>
      </c>
      <c r="L38" s="9">
        <v>105757</v>
      </c>
      <c r="M38" s="9">
        <v>107411</v>
      </c>
      <c r="N38" s="9">
        <v>111267</v>
      </c>
      <c r="P38" s="7">
        <f t="shared" si="6"/>
        <v>107321</v>
      </c>
      <c r="Q38" s="7">
        <f t="shared" si="7"/>
        <v>3946</v>
      </c>
      <c r="R38" s="8">
        <f t="shared" si="8"/>
        <v>3.6768200072679162E-2</v>
      </c>
      <c r="S38" t="str">
        <f t="shared" si="5"/>
        <v>Up</v>
      </c>
    </row>
    <row r="39" spans="1:19" x14ac:dyDescent="0.45">
      <c r="A39" t="s">
        <v>15</v>
      </c>
      <c r="B39">
        <v>2017</v>
      </c>
      <c r="C39" s="1">
        <v>43831</v>
      </c>
      <c r="D39" t="s">
        <v>25</v>
      </c>
      <c r="E39">
        <v>268180</v>
      </c>
      <c r="F39">
        <v>3670568</v>
      </c>
      <c r="G39">
        <v>7.31</v>
      </c>
      <c r="J39" s="4" t="s">
        <v>9</v>
      </c>
      <c r="K39" s="9">
        <v>304688</v>
      </c>
      <c r="L39" s="9">
        <v>294160</v>
      </c>
      <c r="M39" s="9">
        <v>345130</v>
      </c>
      <c r="N39" s="9">
        <v>322890</v>
      </c>
      <c r="P39" s="7">
        <f t="shared" si="6"/>
        <v>314659.33333333331</v>
      </c>
      <c r="Q39" s="7">
        <f t="shared" si="7"/>
        <v>8230.6666666666861</v>
      </c>
      <c r="R39" s="8">
        <f t="shared" si="8"/>
        <v>2.6157389261190472E-2</v>
      </c>
      <c r="S39" t="str">
        <f t="shared" si="5"/>
        <v>Up</v>
      </c>
    </row>
    <row r="40" spans="1:19" x14ac:dyDescent="0.45">
      <c r="A40" t="s">
        <v>17</v>
      </c>
      <c r="B40">
        <v>2017</v>
      </c>
      <c r="C40" s="1">
        <v>43831</v>
      </c>
      <c r="D40" t="s">
        <v>25</v>
      </c>
      <c r="E40">
        <v>368352</v>
      </c>
      <c r="F40">
        <v>5815595</v>
      </c>
      <c r="G40">
        <v>6.33</v>
      </c>
      <c r="J40" s="4" t="s">
        <v>10</v>
      </c>
      <c r="K40" s="9">
        <v>931925</v>
      </c>
      <c r="L40" s="9">
        <v>924456</v>
      </c>
      <c r="M40" s="9">
        <v>957645</v>
      </c>
      <c r="N40" s="9">
        <v>956769</v>
      </c>
      <c r="P40" s="7">
        <f t="shared" si="6"/>
        <v>938008.66666666663</v>
      </c>
      <c r="Q40" s="7">
        <f t="shared" si="7"/>
        <v>18760.333333333372</v>
      </c>
      <c r="R40" s="8">
        <f t="shared" si="8"/>
        <v>2.0000170574116984E-2</v>
      </c>
      <c r="S40" t="str">
        <f t="shared" si="5"/>
        <v>Up</v>
      </c>
    </row>
    <row r="41" spans="1:19" x14ac:dyDescent="0.45">
      <c r="A41" t="s">
        <v>18</v>
      </c>
      <c r="B41">
        <v>2017</v>
      </c>
      <c r="C41" s="1">
        <v>43831</v>
      </c>
      <c r="D41" t="s">
        <v>25</v>
      </c>
      <c r="E41">
        <v>426348</v>
      </c>
      <c r="F41">
        <v>5037634</v>
      </c>
      <c r="G41">
        <v>8.4600000000000009</v>
      </c>
      <c r="J41" s="4" t="s">
        <v>11</v>
      </c>
      <c r="K41" s="9">
        <v>529699</v>
      </c>
      <c r="L41" s="9">
        <v>535948</v>
      </c>
      <c r="M41" s="9">
        <v>523455</v>
      </c>
      <c r="N41" s="9">
        <v>521305</v>
      </c>
      <c r="P41" s="7">
        <f t="shared" si="6"/>
        <v>529700.66666666663</v>
      </c>
      <c r="Q41" s="7">
        <f t="shared" si="7"/>
        <v>-8395.6666666666279</v>
      </c>
      <c r="R41" s="8">
        <f t="shared" si="8"/>
        <v>-1.5849832169363507E-2</v>
      </c>
      <c r="S41" t="str">
        <f t="shared" si="5"/>
        <v>Down</v>
      </c>
    </row>
    <row r="42" spans="1:19" x14ac:dyDescent="0.45">
      <c r="A42" t="s">
        <v>19</v>
      </c>
      <c r="B42">
        <v>2017</v>
      </c>
      <c r="C42" s="1">
        <v>43831</v>
      </c>
      <c r="D42" t="s">
        <v>25</v>
      </c>
      <c r="E42">
        <v>66605</v>
      </c>
      <c r="F42">
        <v>613251</v>
      </c>
      <c r="G42">
        <v>10.86</v>
      </c>
      <c r="J42" s="4" t="s">
        <v>12</v>
      </c>
      <c r="K42" s="9">
        <v>3655800</v>
      </c>
      <c r="L42" s="9">
        <v>3627682</v>
      </c>
      <c r="M42" s="9">
        <v>3683194</v>
      </c>
      <c r="N42" s="9">
        <v>3826971</v>
      </c>
      <c r="P42" s="7">
        <f t="shared" si="6"/>
        <v>3655558.6666666665</v>
      </c>
      <c r="Q42" s="7">
        <f t="shared" si="7"/>
        <v>171412.33333333349</v>
      </c>
      <c r="R42" s="8">
        <f t="shared" si="8"/>
        <v>4.689087194697833E-2</v>
      </c>
      <c r="S42" t="str">
        <f t="shared" si="5"/>
        <v>Up</v>
      </c>
    </row>
    <row r="43" spans="1:19" x14ac:dyDescent="0.45">
      <c r="A43" t="s">
        <v>24</v>
      </c>
      <c r="B43">
        <v>2017</v>
      </c>
      <c r="C43" s="1">
        <v>43831</v>
      </c>
      <c r="D43" t="s">
        <v>25</v>
      </c>
      <c r="E43">
        <v>273318</v>
      </c>
      <c r="F43">
        <v>3468412</v>
      </c>
      <c r="G43">
        <v>7.88</v>
      </c>
      <c r="J43" s="4" t="s">
        <v>13</v>
      </c>
      <c r="K43" s="9">
        <v>1673039</v>
      </c>
      <c r="L43" s="9">
        <v>1658533</v>
      </c>
      <c r="M43" s="9">
        <v>1720918</v>
      </c>
      <c r="N43" s="9">
        <v>1649595</v>
      </c>
      <c r="P43" s="7">
        <f t="shared" si="6"/>
        <v>1684163.3333333333</v>
      </c>
      <c r="Q43" s="7">
        <f t="shared" si="7"/>
        <v>-34568.333333333256</v>
      </c>
      <c r="R43" s="8">
        <f t="shared" si="8"/>
        <v>-2.0525523058927336E-2</v>
      </c>
      <c r="S43" t="str">
        <f t="shared" si="5"/>
        <v>Down</v>
      </c>
    </row>
    <row r="44" spans="1:19" x14ac:dyDescent="0.45">
      <c r="A44" t="s">
        <v>20</v>
      </c>
      <c r="B44">
        <v>2017</v>
      </c>
      <c r="C44" s="1">
        <v>43831</v>
      </c>
      <c r="D44" t="s">
        <v>25</v>
      </c>
      <c r="E44">
        <v>2367432</v>
      </c>
      <c r="F44">
        <v>22572383</v>
      </c>
      <c r="G44">
        <v>10.49</v>
      </c>
      <c r="J44" s="4" t="s">
        <v>14</v>
      </c>
      <c r="K44" s="9">
        <v>306673</v>
      </c>
      <c r="L44" s="9">
        <v>305526</v>
      </c>
      <c r="M44" s="9">
        <v>335726</v>
      </c>
      <c r="N44" s="9">
        <v>342403</v>
      </c>
      <c r="P44" s="7">
        <f t="shared" si="6"/>
        <v>315975</v>
      </c>
      <c r="Q44" s="7">
        <f t="shared" si="7"/>
        <v>26428</v>
      </c>
      <c r="R44" s="8">
        <f t="shared" si="8"/>
        <v>8.3639528443705993E-2</v>
      </c>
      <c r="S44" t="str">
        <f t="shared" si="5"/>
        <v>Up</v>
      </c>
    </row>
    <row r="45" spans="1:19" x14ac:dyDescent="0.45">
      <c r="A45" t="s">
        <v>21</v>
      </c>
      <c r="B45">
        <v>2017</v>
      </c>
      <c r="C45" s="1">
        <v>43831</v>
      </c>
      <c r="D45" t="s">
        <v>25</v>
      </c>
      <c r="E45">
        <v>462252</v>
      </c>
      <c r="F45">
        <v>7015247</v>
      </c>
      <c r="G45">
        <v>6.59</v>
      </c>
      <c r="J45" s="4" t="s">
        <v>15</v>
      </c>
      <c r="K45" s="9">
        <v>343614</v>
      </c>
      <c r="L45" s="9">
        <v>438587</v>
      </c>
      <c r="M45" s="9">
        <v>368695</v>
      </c>
      <c r="N45" s="9">
        <v>501494</v>
      </c>
      <c r="P45" s="7">
        <f t="shared" si="6"/>
        <v>383632</v>
      </c>
      <c r="Q45" s="7">
        <f t="shared" si="7"/>
        <v>117862</v>
      </c>
      <c r="R45" s="8">
        <f t="shared" si="8"/>
        <v>0.30722671727071776</v>
      </c>
      <c r="S45" t="str">
        <f t="shared" si="5"/>
        <v>Up</v>
      </c>
    </row>
    <row r="46" spans="1:19" x14ac:dyDescent="0.45">
      <c r="A46" t="s">
        <v>7</v>
      </c>
      <c r="B46">
        <v>2017</v>
      </c>
      <c r="C46" s="1">
        <v>43863</v>
      </c>
      <c r="D46" t="s">
        <v>8</v>
      </c>
      <c r="E46">
        <v>49702</v>
      </c>
      <c r="F46">
        <v>593378</v>
      </c>
      <c r="G46">
        <v>8.3800000000000008</v>
      </c>
      <c r="J46" s="4" t="s">
        <v>16</v>
      </c>
      <c r="K46" s="9">
        <v>380419</v>
      </c>
      <c r="L46" s="9">
        <v>389783</v>
      </c>
      <c r="M46" s="9">
        <v>352755</v>
      </c>
      <c r="N46" s="9">
        <v>446989</v>
      </c>
      <c r="P46" s="7">
        <f t="shared" si="6"/>
        <v>374319</v>
      </c>
      <c r="Q46" s="7">
        <f t="shared" si="7"/>
        <v>72670</v>
      </c>
      <c r="R46" s="8">
        <f t="shared" si="8"/>
        <v>0.19413922349653637</v>
      </c>
      <c r="S46" t="str">
        <f t="shared" si="5"/>
        <v>Up</v>
      </c>
    </row>
    <row r="47" spans="1:19" x14ac:dyDescent="0.45">
      <c r="A47" t="s">
        <v>9</v>
      </c>
      <c r="B47">
        <v>2017</v>
      </c>
      <c r="C47" s="1">
        <v>43863</v>
      </c>
      <c r="D47" t="s">
        <v>8</v>
      </c>
      <c r="E47">
        <v>105913</v>
      </c>
      <c r="F47">
        <v>2455022</v>
      </c>
      <c r="G47">
        <v>4.3099999999999996</v>
      </c>
      <c r="J47" s="4" t="s">
        <v>17</v>
      </c>
      <c r="K47" s="9">
        <v>938637</v>
      </c>
      <c r="L47" s="9">
        <v>952219</v>
      </c>
      <c r="M47" s="9">
        <v>930441</v>
      </c>
      <c r="N47" s="9">
        <v>978195</v>
      </c>
      <c r="P47" s="7">
        <f t="shared" si="6"/>
        <v>940432.33333333337</v>
      </c>
      <c r="Q47" s="7">
        <f t="shared" si="7"/>
        <v>37762.666666666628</v>
      </c>
      <c r="R47" s="8">
        <f t="shared" si="8"/>
        <v>4.0154581385795217E-2</v>
      </c>
      <c r="S47" t="str">
        <f t="shared" si="5"/>
        <v>Up</v>
      </c>
    </row>
    <row r="48" spans="1:19" x14ac:dyDescent="0.45">
      <c r="A48" t="s">
        <v>10</v>
      </c>
      <c r="B48">
        <v>2017</v>
      </c>
      <c r="C48" s="1">
        <v>43863</v>
      </c>
      <c r="D48" t="s">
        <v>8</v>
      </c>
      <c r="E48">
        <v>382023</v>
      </c>
      <c r="F48">
        <v>4634346</v>
      </c>
      <c r="G48">
        <v>8.24</v>
      </c>
      <c r="J48" s="4" t="s">
        <v>18</v>
      </c>
      <c r="K48" s="9">
        <v>967676</v>
      </c>
      <c r="L48" s="9">
        <v>909233</v>
      </c>
      <c r="M48" s="9">
        <v>691729</v>
      </c>
      <c r="N48" s="9">
        <v>949817</v>
      </c>
      <c r="P48" s="7">
        <f t="shared" si="6"/>
        <v>856212.66666666663</v>
      </c>
      <c r="Q48" s="7">
        <f t="shared" si="7"/>
        <v>93604.333333333372</v>
      </c>
      <c r="R48" s="8">
        <f t="shared" si="8"/>
        <v>0.10932369605993532</v>
      </c>
      <c r="S48" t="str">
        <f t="shared" si="5"/>
        <v>Up</v>
      </c>
    </row>
    <row r="49" spans="1:19" x14ac:dyDescent="0.45">
      <c r="A49" t="s">
        <v>11</v>
      </c>
      <c r="B49">
        <v>2017</v>
      </c>
      <c r="C49" s="1">
        <v>43863</v>
      </c>
      <c r="D49" t="s">
        <v>8</v>
      </c>
      <c r="E49">
        <v>237533</v>
      </c>
      <c r="F49">
        <v>3015481</v>
      </c>
      <c r="G49">
        <v>7.88</v>
      </c>
      <c r="J49" s="4" t="s">
        <v>19</v>
      </c>
      <c r="K49" s="9">
        <v>137387</v>
      </c>
      <c r="L49" s="9">
        <v>133263</v>
      </c>
      <c r="M49" s="9">
        <v>132022</v>
      </c>
      <c r="N49" s="9">
        <v>136026</v>
      </c>
      <c r="P49" s="7">
        <f t="shared" si="6"/>
        <v>134224</v>
      </c>
      <c r="Q49" s="7">
        <f t="shared" si="7"/>
        <v>1802</v>
      </c>
      <c r="R49" s="8">
        <f t="shared" si="8"/>
        <v>1.3425318869948742E-2</v>
      </c>
      <c r="S49" t="str">
        <f t="shared" si="5"/>
        <v>Up</v>
      </c>
    </row>
    <row r="50" spans="1:19" x14ac:dyDescent="0.45">
      <c r="A50" t="s">
        <v>12</v>
      </c>
      <c r="B50">
        <v>2017</v>
      </c>
      <c r="C50" s="1">
        <v>43863</v>
      </c>
      <c r="D50" t="s">
        <v>8</v>
      </c>
      <c r="E50">
        <v>1407178</v>
      </c>
      <c r="F50">
        <v>17722275</v>
      </c>
      <c r="G50">
        <v>7.94</v>
      </c>
      <c r="J50" s="4" t="s">
        <v>24</v>
      </c>
      <c r="K50" s="9">
        <v>435315</v>
      </c>
      <c r="L50" s="9">
        <v>477006</v>
      </c>
      <c r="M50" s="9">
        <v>440187</v>
      </c>
      <c r="N50" s="9">
        <v>468486</v>
      </c>
      <c r="P50" s="7">
        <f t="shared" si="6"/>
        <v>450836</v>
      </c>
      <c r="Q50" s="7">
        <f t="shared" si="7"/>
        <v>17650</v>
      </c>
      <c r="R50" s="8">
        <f t="shared" si="8"/>
        <v>3.9149491167519895E-2</v>
      </c>
      <c r="S50" t="str">
        <f t="shared" si="5"/>
        <v>Up</v>
      </c>
    </row>
    <row r="51" spans="1:19" x14ac:dyDescent="0.45">
      <c r="A51" t="s">
        <v>13</v>
      </c>
      <c r="B51">
        <v>2017</v>
      </c>
      <c r="C51" s="1">
        <v>43863</v>
      </c>
      <c r="D51" t="s">
        <v>8</v>
      </c>
      <c r="E51">
        <v>583291</v>
      </c>
      <c r="F51">
        <v>10556100</v>
      </c>
      <c r="G51">
        <v>5.53</v>
      </c>
      <c r="J51" s="4" t="s">
        <v>20</v>
      </c>
      <c r="K51" s="9">
        <v>3722639</v>
      </c>
      <c r="L51" s="9">
        <v>3668546</v>
      </c>
      <c r="M51" s="9">
        <v>3919641</v>
      </c>
      <c r="N51" s="9">
        <v>3982842</v>
      </c>
      <c r="P51" s="7">
        <f t="shared" si="6"/>
        <v>3770275.3333333335</v>
      </c>
      <c r="Q51" s="7">
        <f t="shared" si="7"/>
        <v>212566.66666666651</v>
      </c>
      <c r="R51" s="8">
        <f t="shared" si="8"/>
        <v>5.637961365509464E-2</v>
      </c>
      <c r="S51" t="str">
        <f t="shared" si="5"/>
        <v>Up</v>
      </c>
    </row>
    <row r="52" spans="1:19" x14ac:dyDescent="0.45">
      <c r="A52" t="s">
        <v>14</v>
      </c>
      <c r="B52">
        <v>2017</v>
      </c>
      <c r="C52" s="1">
        <v>43863</v>
      </c>
      <c r="D52" t="s">
        <v>8</v>
      </c>
      <c r="E52">
        <v>132492</v>
      </c>
      <c r="F52">
        <v>2356231</v>
      </c>
      <c r="G52">
        <v>5.62</v>
      </c>
      <c r="J52" s="4" t="s">
        <v>21</v>
      </c>
      <c r="K52" s="9">
        <v>1048658</v>
      </c>
      <c r="L52" s="9">
        <v>1042856</v>
      </c>
      <c r="M52" s="9">
        <v>1054095</v>
      </c>
      <c r="N52" s="9">
        <v>1079551</v>
      </c>
      <c r="P52" s="7">
        <f t="shared" si="6"/>
        <v>1048536.3333333334</v>
      </c>
      <c r="Q52" s="7">
        <f t="shared" si="7"/>
        <v>31014.666666666628</v>
      </c>
      <c r="R52" s="8">
        <f t="shared" si="8"/>
        <v>2.9579009978671817E-2</v>
      </c>
      <c r="S52" t="str">
        <f t="shared" si="5"/>
        <v>Up</v>
      </c>
    </row>
    <row r="53" spans="1:19" x14ac:dyDescent="0.45">
      <c r="A53" t="s">
        <v>15</v>
      </c>
      <c r="B53">
        <v>2017</v>
      </c>
      <c r="C53" s="1">
        <v>43863</v>
      </c>
      <c r="D53" t="s">
        <v>8</v>
      </c>
      <c r="E53">
        <v>108053</v>
      </c>
      <c r="F53">
        <v>3670568</v>
      </c>
      <c r="G53">
        <v>2.94</v>
      </c>
      <c r="J53" s="4" t="s">
        <v>22</v>
      </c>
      <c r="K53" s="9">
        <v>495250</v>
      </c>
      <c r="L53" s="9">
        <v>424597</v>
      </c>
      <c r="M53" s="9">
        <v>562192</v>
      </c>
      <c r="N53" s="9">
        <v>576092</v>
      </c>
      <c r="P53" s="7">
        <f t="shared" si="6"/>
        <v>494013</v>
      </c>
      <c r="Q53" s="7">
        <f t="shared" si="7"/>
        <v>82079</v>
      </c>
      <c r="R53" s="8">
        <f t="shared" si="8"/>
        <v>0.16614744956104394</v>
      </c>
      <c r="S53" t="str">
        <f t="shared" si="5"/>
        <v>Up</v>
      </c>
    </row>
    <row r="54" spans="1:19" x14ac:dyDescent="0.45">
      <c r="A54" t="s">
        <v>16</v>
      </c>
      <c r="B54">
        <v>2017</v>
      </c>
      <c r="C54" s="1">
        <v>43863</v>
      </c>
      <c r="D54" t="s">
        <v>8</v>
      </c>
      <c r="E54">
        <v>287829</v>
      </c>
      <c r="F54">
        <v>3807282</v>
      </c>
      <c r="G54">
        <v>7.56</v>
      </c>
      <c r="J54" s="3" t="s">
        <v>30</v>
      </c>
      <c r="K54" s="9">
        <v>18481015</v>
      </c>
      <c r="L54" s="9">
        <v>18014780</v>
      </c>
      <c r="M54" s="9">
        <v>17946274</v>
      </c>
      <c r="N54" s="9">
        <v>18791735</v>
      </c>
      <c r="P54" s="7">
        <f t="shared" si="6"/>
        <v>18147356.333333332</v>
      </c>
      <c r="Q54" s="7">
        <f t="shared" si="7"/>
        <v>644378.66666666791</v>
      </c>
      <c r="R54" s="8">
        <f t="shared" si="8"/>
        <v>3.5508128833237472E-2</v>
      </c>
      <c r="S54" t="str">
        <f t="shared" si="5"/>
        <v>Up</v>
      </c>
    </row>
    <row r="55" spans="1:19" x14ac:dyDescent="0.45">
      <c r="A55" t="s">
        <v>17</v>
      </c>
      <c r="B55">
        <v>2017</v>
      </c>
      <c r="C55" s="1">
        <v>43863</v>
      </c>
      <c r="D55" t="s">
        <v>8</v>
      </c>
      <c r="E55">
        <v>334037</v>
      </c>
      <c r="F55">
        <v>5815595</v>
      </c>
      <c r="G55">
        <v>5.74</v>
      </c>
      <c r="J55" s="4" t="s">
        <v>7</v>
      </c>
      <c r="K55" s="9">
        <v>134456</v>
      </c>
      <c r="L55" s="9">
        <v>129664</v>
      </c>
      <c r="M55" s="9">
        <v>128894</v>
      </c>
      <c r="N55" s="9">
        <v>147378</v>
      </c>
      <c r="P55" s="7">
        <f t="shared" si="6"/>
        <v>131004.66666666667</v>
      </c>
      <c r="Q55" s="7">
        <f t="shared" si="7"/>
        <v>16373.333333333328</v>
      </c>
      <c r="R55" s="8">
        <f t="shared" si="8"/>
        <v>0.12498282503931153</v>
      </c>
      <c r="S55" t="str">
        <f t="shared" si="5"/>
        <v>Up</v>
      </c>
    </row>
    <row r="56" spans="1:19" x14ac:dyDescent="0.45">
      <c r="A56" t="s">
        <v>18</v>
      </c>
      <c r="B56">
        <v>2017</v>
      </c>
      <c r="C56" s="1">
        <v>43863</v>
      </c>
      <c r="D56" t="s">
        <v>8</v>
      </c>
      <c r="E56">
        <v>392932</v>
      </c>
      <c r="F56">
        <v>5037634</v>
      </c>
      <c r="G56">
        <v>7.8</v>
      </c>
      <c r="J56" s="4" t="s">
        <v>9</v>
      </c>
      <c r="K56" s="9">
        <v>327557</v>
      </c>
      <c r="L56" s="9">
        <v>334830</v>
      </c>
      <c r="M56" s="9">
        <v>339038</v>
      </c>
      <c r="N56" s="9">
        <v>319591</v>
      </c>
      <c r="P56" s="7">
        <f t="shared" si="6"/>
        <v>333808.33333333331</v>
      </c>
      <c r="Q56" s="7">
        <f t="shared" si="7"/>
        <v>-14217.333333333314</v>
      </c>
      <c r="R56" s="8">
        <f t="shared" si="8"/>
        <v>-4.2591307386973504E-2</v>
      </c>
      <c r="S56" t="str">
        <f t="shared" si="5"/>
        <v>Down</v>
      </c>
    </row>
    <row r="57" spans="1:19" x14ac:dyDescent="0.45">
      <c r="A57" t="s">
        <v>19</v>
      </c>
      <c r="B57">
        <v>2017</v>
      </c>
      <c r="C57" s="1">
        <v>43863</v>
      </c>
      <c r="D57" t="s">
        <v>8</v>
      </c>
      <c r="E57">
        <v>56308</v>
      </c>
      <c r="F57">
        <v>613251</v>
      </c>
      <c r="G57">
        <v>9.18</v>
      </c>
      <c r="J57" s="4" t="s">
        <v>10</v>
      </c>
      <c r="K57" s="9">
        <v>1113251</v>
      </c>
      <c r="L57" s="9">
        <v>1060643</v>
      </c>
      <c r="M57" s="9">
        <v>1084211</v>
      </c>
      <c r="N57" s="9">
        <v>1249473</v>
      </c>
      <c r="P57" s="7">
        <f t="shared" si="6"/>
        <v>1086035</v>
      </c>
      <c r="Q57" s="7">
        <f t="shared" si="7"/>
        <v>163438</v>
      </c>
      <c r="R57" s="8">
        <f t="shared" si="8"/>
        <v>0.15049054588480112</v>
      </c>
      <c r="S57" t="str">
        <f t="shared" si="5"/>
        <v>Up</v>
      </c>
    </row>
    <row r="58" spans="1:19" x14ac:dyDescent="0.45">
      <c r="A58" t="s">
        <v>20</v>
      </c>
      <c r="B58">
        <v>2017</v>
      </c>
      <c r="C58" s="1">
        <v>43863</v>
      </c>
      <c r="D58" t="s">
        <v>8</v>
      </c>
      <c r="E58">
        <v>1218903</v>
      </c>
      <c r="F58">
        <v>22572383</v>
      </c>
      <c r="G58">
        <v>5.4</v>
      </c>
      <c r="J58" s="4" t="s">
        <v>11</v>
      </c>
      <c r="K58" s="9">
        <v>599589</v>
      </c>
      <c r="L58" s="9">
        <v>572630</v>
      </c>
      <c r="M58" s="9">
        <v>548936</v>
      </c>
      <c r="N58" s="9">
        <v>604664</v>
      </c>
      <c r="P58" s="7">
        <f t="shared" si="6"/>
        <v>573718.33333333337</v>
      </c>
      <c r="Q58" s="7">
        <f t="shared" si="7"/>
        <v>30945.666666666628</v>
      </c>
      <c r="R58" s="8">
        <f t="shared" si="8"/>
        <v>5.3938779482382397E-2</v>
      </c>
      <c r="S58" t="str">
        <f t="shared" si="5"/>
        <v>Up</v>
      </c>
    </row>
    <row r="59" spans="1:19" x14ac:dyDescent="0.45">
      <c r="A59" t="s">
        <v>21</v>
      </c>
      <c r="B59">
        <v>2017</v>
      </c>
      <c r="C59" s="1">
        <v>43863</v>
      </c>
      <c r="D59" t="s">
        <v>8</v>
      </c>
      <c r="E59">
        <v>341320</v>
      </c>
      <c r="F59">
        <v>7015247</v>
      </c>
      <c r="G59">
        <v>4.87</v>
      </c>
      <c r="J59" s="4" t="s">
        <v>12</v>
      </c>
      <c r="K59" s="9">
        <v>4482237</v>
      </c>
      <c r="L59" s="9">
        <v>4405044</v>
      </c>
      <c r="M59" s="9">
        <v>4426500</v>
      </c>
      <c r="N59" s="9">
        <v>4838517</v>
      </c>
      <c r="P59" s="7">
        <f t="shared" si="6"/>
        <v>4437927</v>
      </c>
      <c r="Q59" s="7">
        <f t="shared" si="7"/>
        <v>400590</v>
      </c>
      <c r="R59" s="8">
        <f t="shared" si="8"/>
        <v>9.0265117024232261E-2</v>
      </c>
      <c r="S59" t="str">
        <f t="shared" si="5"/>
        <v>Up</v>
      </c>
    </row>
    <row r="60" spans="1:19" x14ac:dyDescent="0.45">
      <c r="A60" t="s">
        <v>22</v>
      </c>
      <c r="B60">
        <v>2017</v>
      </c>
      <c r="C60" s="1">
        <v>43863</v>
      </c>
      <c r="D60" t="s">
        <v>8</v>
      </c>
      <c r="E60">
        <v>365380</v>
      </c>
      <c r="F60">
        <v>4805415</v>
      </c>
      <c r="G60">
        <v>7.6</v>
      </c>
      <c r="J60" s="4" t="s">
        <v>13</v>
      </c>
      <c r="K60" s="9">
        <v>2060693</v>
      </c>
      <c r="L60" s="9">
        <v>1994444</v>
      </c>
      <c r="M60" s="9">
        <v>1899727</v>
      </c>
      <c r="N60" s="9">
        <v>2021437</v>
      </c>
      <c r="P60" s="7">
        <f t="shared" si="6"/>
        <v>1984954.6666666667</v>
      </c>
      <c r="Q60" s="7">
        <f t="shared" si="7"/>
        <v>36482.333333333256</v>
      </c>
      <c r="R60" s="8">
        <f t="shared" si="8"/>
        <v>1.8379428984440244E-2</v>
      </c>
      <c r="S60" t="str">
        <f t="shared" si="5"/>
        <v>Up</v>
      </c>
    </row>
    <row r="61" spans="1:19" x14ac:dyDescent="0.45">
      <c r="A61" t="s">
        <v>7</v>
      </c>
      <c r="B61">
        <v>2017</v>
      </c>
      <c r="C61" s="1">
        <v>43863</v>
      </c>
      <c r="D61" t="s">
        <v>23</v>
      </c>
      <c r="E61">
        <v>21036</v>
      </c>
      <c r="F61">
        <v>593378</v>
      </c>
      <c r="G61">
        <v>3.55</v>
      </c>
      <c r="J61" s="4" t="s">
        <v>14</v>
      </c>
      <c r="K61" s="9">
        <v>317032</v>
      </c>
      <c r="L61" s="9">
        <v>280638</v>
      </c>
      <c r="M61" s="9">
        <v>286566</v>
      </c>
      <c r="N61" s="9">
        <v>345420</v>
      </c>
      <c r="P61" s="7">
        <f t="shared" si="6"/>
        <v>294745.33333333331</v>
      </c>
      <c r="Q61" s="7">
        <f t="shared" si="7"/>
        <v>50674.666666666686</v>
      </c>
      <c r="R61" s="8">
        <f t="shared" si="8"/>
        <v>0.17192695162829841</v>
      </c>
      <c r="S61" t="str">
        <f t="shared" si="5"/>
        <v>Up</v>
      </c>
    </row>
    <row r="62" spans="1:19" x14ac:dyDescent="0.45">
      <c r="A62" t="s">
        <v>9</v>
      </c>
      <c r="B62">
        <v>2017</v>
      </c>
      <c r="C62" s="1">
        <v>43863</v>
      </c>
      <c r="D62" t="s">
        <v>23</v>
      </c>
      <c r="E62">
        <v>40011</v>
      </c>
      <c r="F62">
        <v>2455022</v>
      </c>
      <c r="G62">
        <v>1.63</v>
      </c>
      <c r="J62" s="4" t="s">
        <v>15</v>
      </c>
      <c r="K62" s="9">
        <v>604146</v>
      </c>
      <c r="L62" s="9">
        <v>534795</v>
      </c>
      <c r="M62" s="9">
        <v>520213</v>
      </c>
      <c r="N62" s="9">
        <v>560383</v>
      </c>
      <c r="P62" s="7">
        <f t="shared" si="6"/>
        <v>553051.33333333337</v>
      </c>
      <c r="Q62" s="7">
        <f t="shared" si="7"/>
        <v>7331.6666666666279</v>
      </c>
      <c r="R62" s="8">
        <f t="shared" si="8"/>
        <v>1.325675615403988E-2</v>
      </c>
      <c r="S62" t="str">
        <f t="shared" si="5"/>
        <v>Up</v>
      </c>
    </row>
    <row r="63" spans="1:19" x14ac:dyDescent="0.45">
      <c r="A63" t="s">
        <v>10</v>
      </c>
      <c r="B63">
        <v>2017</v>
      </c>
      <c r="C63" s="1">
        <v>43863</v>
      </c>
      <c r="D63" t="s">
        <v>23</v>
      </c>
      <c r="E63">
        <v>191270</v>
      </c>
      <c r="F63">
        <v>4634346</v>
      </c>
      <c r="G63">
        <v>4.13</v>
      </c>
      <c r="J63" s="4" t="s">
        <v>16</v>
      </c>
      <c r="K63" s="9">
        <v>444203</v>
      </c>
      <c r="L63" s="9">
        <v>403842</v>
      </c>
      <c r="M63" s="9">
        <v>349723</v>
      </c>
      <c r="N63" s="9">
        <v>442975</v>
      </c>
      <c r="P63" s="7">
        <f t="shared" si="6"/>
        <v>399256</v>
      </c>
      <c r="Q63" s="7">
        <f t="shared" si="7"/>
        <v>43719</v>
      </c>
      <c r="R63" s="8">
        <f t="shared" si="8"/>
        <v>0.10950117218025528</v>
      </c>
      <c r="S63" t="str">
        <f t="shared" si="5"/>
        <v>Up</v>
      </c>
    </row>
    <row r="64" spans="1:19" x14ac:dyDescent="0.45">
      <c r="A64" t="s">
        <v>11</v>
      </c>
      <c r="B64">
        <v>2017</v>
      </c>
      <c r="C64" s="1">
        <v>43863</v>
      </c>
      <c r="D64" t="s">
        <v>23</v>
      </c>
      <c r="E64">
        <v>131972</v>
      </c>
      <c r="F64">
        <v>3015481</v>
      </c>
      <c r="G64">
        <v>4.38</v>
      </c>
      <c r="J64" s="4" t="s">
        <v>17</v>
      </c>
      <c r="K64" s="9">
        <v>1320627</v>
      </c>
      <c r="L64" s="9">
        <v>1197361</v>
      </c>
      <c r="M64" s="9">
        <v>1118915</v>
      </c>
      <c r="N64" s="9">
        <v>1192274</v>
      </c>
      <c r="P64" s="7">
        <f t="shared" si="6"/>
        <v>1212301</v>
      </c>
      <c r="Q64" s="7">
        <f t="shared" si="7"/>
        <v>-20027</v>
      </c>
      <c r="R64" s="8">
        <f t="shared" si="8"/>
        <v>-1.6519824697001816E-2</v>
      </c>
      <c r="S64" t="str">
        <f t="shared" si="5"/>
        <v>Down</v>
      </c>
    </row>
    <row r="65" spans="1:19" x14ac:dyDescent="0.45">
      <c r="A65" t="s">
        <v>12</v>
      </c>
      <c r="B65">
        <v>2017</v>
      </c>
      <c r="C65" s="1">
        <v>43863</v>
      </c>
      <c r="D65" t="s">
        <v>23</v>
      </c>
      <c r="E65">
        <v>820461</v>
      </c>
      <c r="F65">
        <v>17722275</v>
      </c>
      <c r="G65">
        <v>4.63</v>
      </c>
      <c r="J65" s="4" t="s">
        <v>18</v>
      </c>
      <c r="K65" s="9">
        <v>1110946</v>
      </c>
      <c r="L65" s="9">
        <v>1051475</v>
      </c>
      <c r="M65" s="9">
        <v>1290964</v>
      </c>
      <c r="N65" s="9">
        <v>1147742</v>
      </c>
      <c r="P65" s="7">
        <f t="shared" si="6"/>
        <v>1151128.3333333333</v>
      </c>
      <c r="Q65" s="7">
        <f t="shared" si="7"/>
        <v>-3386.3333333332557</v>
      </c>
      <c r="R65" s="8">
        <f t="shared" si="8"/>
        <v>-2.9417513541061214E-3</v>
      </c>
      <c r="S65" t="str">
        <f t="shared" si="5"/>
        <v>Down</v>
      </c>
    </row>
    <row r="66" spans="1:19" x14ac:dyDescent="0.45">
      <c r="A66" t="s">
        <v>13</v>
      </c>
      <c r="B66">
        <v>2017</v>
      </c>
      <c r="C66" s="1">
        <v>43863</v>
      </c>
      <c r="D66" t="s">
        <v>23</v>
      </c>
      <c r="E66">
        <v>333649</v>
      </c>
      <c r="F66">
        <v>10556100</v>
      </c>
      <c r="G66">
        <v>3.16</v>
      </c>
      <c r="J66" s="4" t="s">
        <v>19</v>
      </c>
      <c r="K66" s="9">
        <v>154797</v>
      </c>
      <c r="L66" s="9">
        <v>149339</v>
      </c>
      <c r="M66" s="9">
        <v>152404</v>
      </c>
      <c r="N66" s="9">
        <v>173283</v>
      </c>
      <c r="P66" s="7">
        <f t="shared" si="6"/>
        <v>152180</v>
      </c>
      <c r="Q66" s="7">
        <f t="shared" si="7"/>
        <v>21103</v>
      </c>
      <c r="R66" s="8">
        <f t="shared" si="8"/>
        <v>0.13867131029044552</v>
      </c>
      <c r="S66" t="str">
        <f t="shared" si="5"/>
        <v>Up</v>
      </c>
    </row>
    <row r="67" spans="1:19" x14ac:dyDescent="0.45">
      <c r="A67" t="s">
        <v>15</v>
      </c>
      <c r="B67">
        <v>2017</v>
      </c>
      <c r="C67" s="1">
        <v>43863</v>
      </c>
      <c r="D67" t="s">
        <v>23</v>
      </c>
      <c r="E67">
        <v>31556</v>
      </c>
      <c r="F67">
        <v>3670568</v>
      </c>
      <c r="G67">
        <v>0.86</v>
      </c>
      <c r="J67" s="4" t="s">
        <v>24</v>
      </c>
      <c r="K67" s="9">
        <v>480837</v>
      </c>
      <c r="L67" s="9">
        <v>390313</v>
      </c>
      <c r="M67" s="9">
        <v>396842</v>
      </c>
      <c r="N67" s="9">
        <v>332999</v>
      </c>
      <c r="P67" s="7">
        <f t="shared" si="6"/>
        <v>422664</v>
      </c>
      <c r="Q67" s="7">
        <f t="shared" si="7"/>
        <v>-89665</v>
      </c>
      <c r="R67" s="8">
        <f t="shared" si="8"/>
        <v>-0.21214250563095036</v>
      </c>
      <c r="S67" t="str">
        <f t="shared" si="5"/>
        <v>Down</v>
      </c>
    </row>
    <row r="68" spans="1:19" x14ac:dyDescent="0.45">
      <c r="A68" t="s">
        <v>16</v>
      </c>
      <c r="B68">
        <v>2017</v>
      </c>
      <c r="C68" s="1">
        <v>43863</v>
      </c>
      <c r="D68" t="s">
        <v>23</v>
      </c>
      <c r="E68">
        <v>92590</v>
      </c>
      <c r="F68">
        <v>3807282</v>
      </c>
      <c r="G68">
        <v>2.4300000000000002</v>
      </c>
      <c r="J68" s="4" t="s">
        <v>20</v>
      </c>
      <c r="K68" s="9">
        <v>3595839</v>
      </c>
      <c r="L68" s="9">
        <v>3599560</v>
      </c>
      <c r="M68" s="9">
        <v>3662822</v>
      </c>
      <c r="N68" s="9">
        <v>3527114</v>
      </c>
      <c r="P68" s="7">
        <f t="shared" si="6"/>
        <v>3619407</v>
      </c>
      <c r="Q68" s="7">
        <f t="shared" si="7"/>
        <v>-92293</v>
      </c>
      <c r="R68" s="8">
        <f t="shared" si="8"/>
        <v>-2.5499480992328301E-2</v>
      </c>
      <c r="S68" t="str">
        <f t="shared" si="5"/>
        <v>Down</v>
      </c>
    </row>
    <row r="69" spans="1:19" x14ac:dyDescent="0.45">
      <c r="A69" t="s">
        <v>17</v>
      </c>
      <c r="B69">
        <v>2017</v>
      </c>
      <c r="C69" s="1">
        <v>43863</v>
      </c>
      <c r="D69" t="s">
        <v>23</v>
      </c>
      <c r="E69">
        <v>253180</v>
      </c>
      <c r="F69">
        <v>5815595</v>
      </c>
      <c r="G69">
        <v>4.3499999999999996</v>
      </c>
      <c r="J69" s="4" t="s">
        <v>21</v>
      </c>
      <c r="K69" s="9">
        <v>1225027</v>
      </c>
      <c r="L69" s="9">
        <v>1216343</v>
      </c>
      <c r="M69" s="9">
        <v>1173099</v>
      </c>
      <c r="N69" s="9">
        <v>1364751</v>
      </c>
      <c r="P69" s="7">
        <f t="shared" si="6"/>
        <v>1204823</v>
      </c>
      <c r="Q69" s="7">
        <f t="shared" si="7"/>
        <v>159928</v>
      </c>
      <c r="R69" s="8">
        <f t="shared" si="8"/>
        <v>0.13273982983392582</v>
      </c>
      <c r="S69" t="str">
        <f t="shared" si="5"/>
        <v>Up</v>
      </c>
    </row>
    <row r="70" spans="1:19" x14ac:dyDescent="0.45">
      <c r="A70" t="s">
        <v>18</v>
      </c>
      <c r="B70">
        <v>2017</v>
      </c>
      <c r="C70" s="1">
        <v>43863</v>
      </c>
      <c r="D70" t="s">
        <v>23</v>
      </c>
      <c r="E70">
        <v>169287</v>
      </c>
      <c r="F70">
        <v>5037634</v>
      </c>
      <c r="G70">
        <v>3.36</v>
      </c>
      <c r="J70" s="4" t="s">
        <v>22</v>
      </c>
      <c r="K70" s="9">
        <v>509778</v>
      </c>
      <c r="L70" s="9">
        <v>693859</v>
      </c>
      <c r="M70" s="9">
        <v>567420</v>
      </c>
      <c r="N70" s="9">
        <v>523734</v>
      </c>
      <c r="P70" s="7">
        <f t="shared" si="6"/>
        <v>590352.33333333337</v>
      </c>
      <c r="Q70" s="7">
        <f t="shared" si="7"/>
        <v>-66618.333333333372</v>
      </c>
      <c r="R70" s="8">
        <f t="shared" si="8"/>
        <v>-0.11284504112515865</v>
      </c>
      <c r="S70" t="str">
        <f t="shared" si="5"/>
        <v>Down</v>
      </c>
    </row>
    <row r="71" spans="1:19" x14ac:dyDescent="0.45">
      <c r="A71" t="s">
        <v>19</v>
      </c>
      <c r="B71">
        <v>2017</v>
      </c>
      <c r="C71" s="1">
        <v>43863</v>
      </c>
      <c r="D71" t="s">
        <v>23</v>
      </c>
      <c r="E71">
        <v>13793</v>
      </c>
      <c r="F71">
        <v>613251</v>
      </c>
      <c r="G71">
        <v>2.25</v>
      </c>
      <c r="J71" s="3" t="s">
        <v>31</v>
      </c>
      <c r="K71" s="9">
        <v>18307907</v>
      </c>
      <c r="L71" s="9">
        <v>18055258</v>
      </c>
      <c r="M71" s="9">
        <v>18746757</v>
      </c>
      <c r="N71" s="9">
        <v>18972669</v>
      </c>
      <c r="P71" s="7">
        <f t="shared" si="6"/>
        <v>18369974</v>
      </c>
      <c r="Q71" s="7">
        <f t="shared" si="7"/>
        <v>602695</v>
      </c>
      <c r="R71" s="8">
        <f t="shared" si="8"/>
        <v>3.280870185227263E-2</v>
      </c>
      <c r="S71" t="str">
        <f t="shared" si="5"/>
        <v>Up</v>
      </c>
    </row>
    <row r="72" spans="1:19" x14ac:dyDescent="0.45">
      <c r="A72" t="s">
        <v>24</v>
      </c>
      <c r="B72">
        <v>2017</v>
      </c>
      <c r="C72" s="1">
        <v>43863</v>
      </c>
      <c r="D72" t="s">
        <v>23</v>
      </c>
      <c r="E72">
        <v>140055</v>
      </c>
      <c r="F72">
        <v>3468412</v>
      </c>
      <c r="G72">
        <v>4.04</v>
      </c>
      <c r="J72" s="4" t="s">
        <v>7</v>
      </c>
      <c r="K72" s="9">
        <v>123712</v>
      </c>
      <c r="L72" s="9">
        <v>123363</v>
      </c>
      <c r="M72" s="9">
        <v>130100</v>
      </c>
      <c r="N72" s="9">
        <v>125165</v>
      </c>
      <c r="P72" s="7">
        <f t="shared" si="6"/>
        <v>125725</v>
      </c>
      <c r="Q72" s="7">
        <f t="shared" si="7"/>
        <v>-560</v>
      </c>
      <c r="R72" s="8">
        <f t="shared" si="8"/>
        <v>-4.4541658381387949E-3</v>
      </c>
      <c r="S72" t="str">
        <f t="shared" si="5"/>
        <v>Down</v>
      </c>
    </row>
    <row r="73" spans="1:19" x14ac:dyDescent="0.45">
      <c r="A73" t="s">
        <v>20</v>
      </c>
      <c r="B73">
        <v>2017</v>
      </c>
      <c r="C73" s="1">
        <v>43863</v>
      </c>
      <c r="D73" t="s">
        <v>23</v>
      </c>
      <c r="E73">
        <v>690589</v>
      </c>
      <c r="F73">
        <v>22572383</v>
      </c>
      <c r="G73">
        <v>3.06</v>
      </c>
      <c r="J73" s="4" t="s">
        <v>9</v>
      </c>
      <c r="K73" s="9">
        <v>366677</v>
      </c>
      <c r="L73" s="9">
        <v>386353</v>
      </c>
      <c r="M73" s="9">
        <v>390269</v>
      </c>
      <c r="N73" s="9">
        <v>387586</v>
      </c>
      <c r="P73" s="7">
        <f t="shared" si="6"/>
        <v>381099.66666666669</v>
      </c>
      <c r="Q73" s="7">
        <f t="shared" si="7"/>
        <v>6486.3333333333139</v>
      </c>
      <c r="R73" s="8">
        <f t="shared" si="8"/>
        <v>1.7020044625246714E-2</v>
      </c>
      <c r="S73" t="str">
        <f t="shared" si="5"/>
        <v>Up</v>
      </c>
    </row>
    <row r="74" spans="1:19" x14ac:dyDescent="0.45">
      <c r="A74" t="s">
        <v>21</v>
      </c>
      <c r="B74">
        <v>2017</v>
      </c>
      <c r="C74" s="1">
        <v>43863</v>
      </c>
      <c r="D74" t="s">
        <v>23</v>
      </c>
      <c r="E74">
        <v>245561</v>
      </c>
      <c r="F74">
        <v>7015247</v>
      </c>
      <c r="G74">
        <v>3.5</v>
      </c>
      <c r="J74" s="4" t="s">
        <v>10</v>
      </c>
      <c r="K74" s="9">
        <v>968862</v>
      </c>
      <c r="L74" s="9">
        <v>998366</v>
      </c>
      <c r="M74" s="9">
        <v>1091593</v>
      </c>
      <c r="N74" s="9">
        <v>1084090</v>
      </c>
      <c r="P74" s="7">
        <f t="shared" si="6"/>
        <v>1019607</v>
      </c>
      <c r="Q74" s="7">
        <f t="shared" si="7"/>
        <v>64483</v>
      </c>
      <c r="R74" s="8">
        <f t="shared" si="8"/>
        <v>6.3242994604783997E-2</v>
      </c>
      <c r="S74" t="str">
        <f t="shared" si="5"/>
        <v>Up</v>
      </c>
    </row>
    <row r="75" spans="1:19" x14ac:dyDescent="0.45">
      <c r="A75" t="s">
        <v>22</v>
      </c>
      <c r="B75">
        <v>2017</v>
      </c>
      <c r="C75" s="1">
        <v>43863</v>
      </c>
      <c r="D75" t="s">
        <v>23</v>
      </c>
      <c r="E75">
        <v>129870</v>
      </c>
      <c r="F75">
        <v>4805415</v>
      </c>
      <c r="G75">
        <v>2.7</v>
      </c>
      <c r="J75" s="4" t="s">
        <v>11</v>
      </c>
      <c r="K75" s="9">
        <v>550922</v>
      </c>
      <c r="L75" s="9">
        <v>556462</v>
      </c>
      <c r="M75" s="9">
        <v>589978</v>
      </c>
      <c r="N75" s="9">
        <v>514226</v>
      </c>
      <c r="P75" s="7">
        <f t="shared" si="6"/>
        <v>565787.33333333337</v>
      </c>
      <c r="Q75" s="7">
        <f t="shared" si="7"/>
        <v>-51561.333333333372</v>
      </c>
      <c r="R75" s="8">
        <f t="shared" si="8"/>
        <v>-9.1132003662153446E-2</v>
      </c>
      <c r="S75" t="str">
        <f t="shared" si="5"/>
        <v>Down</v>
      </c>
    </row>
    <row r="76" spans="1:19" x14ac:dyDescent="0.45">
      <c r="A76" t="s">
        <v>7</v>
      </c>
      <c r="B76">
        <v>2017</v>
      </c>
      <c r="C76" s="1">
        <v>43863</v>
      </c>
      <c r="D76" t="s">
        <v>25</v>
      </c>
      <c r="E76">
        <v>38057</v>
      </c>
      <c r="F76">
        <v>593378</v>
      </c>
      <c r="G76">
        <v>6.41</v>
      </c>
      <c r="J76" s="4" t="s">
        <v>12</v>
      </c>
      <c r="K76" s="9">
        <v>3705588</v>
      </c>
      <c r="L76" s="9">
        <v>3611795</v>
      </c>
      <c r="M76" s="9">
        <v>4104843</v>
      </c>
      <c r="N76" s="9">
        <v>3622687</v>
      </c>
      <c r="P76" s="7">
        <f t="shared" si="6"/>
        <v>3807408.6666666665</v>
      </c>
      <c r="Q76" s="7">
        <f t="shared" si="7"/>
        <v>-184721.66666666651</v>
      </c>
      <c r="R76" s="8">
        <f t="shared" si="8"/>
        <v>-4.8516375004311732E-2</v>
      </c>
      <c r="S76" t="str">
        <f t="shared" si="5"/>
        <v>Down</v>
      </c>
    </row>
    <row r="77" spans="1:19" x14ac:dyDescent="0.45">
      <c r="A77" t="s">
        <v>9</v>
      </c>
      <c r="B77">
        <v>2017</v>
      </c>
      <c r="C77" s="1">
        <v>43863</v>
      </c>
      <c r="D77" t="s">
        <v>25</v>
      </c>
      <c r="E77">
        <v>158764</v>
      </c>
      <c r="F77">
        <v>2455022</v>
      </c>
      <c r="G77">
        <v>6.47</v>
      </c>
      <c r="J77" s="4" t="s">
        <v>13</v>
      </c>
      <c r="K77" s="9">
        <v>1873737</v>
      </c>
      <c r="L77" s="9">
        <v>1835996</v>
      </c>
      <c r="M77" s="9">
        <v>2032544</v>
      </c>
      <c r="N77" s="9">
        <v>1876725</v>
      </c>
      <c r="P77" s="7">
        <f t="shared" si="6"/>
        <v>1914092.3333333333</v>
      </c>
      <c r="Q77" s="7">
        <f t="shared" si="7"/>
        <v>-37367.333333333256</v>
      </c>
      <c r="R77" s="8">
        <f t="shared" si="8"/>
        <v>-1.9522220889030568E-2</v>
      </c>
      <c r="S77" t="str">
        <f t="shared" si="5"/>
        <v>Down</v>
      </c>
    </row>
    <row r="78" spans="1:19" x14ac:dyDescent="0.45">
      <c r="A78" t="s">
        <v>10</v>
      </c>
      <c r="B78">
        <v>2017</v>
      </c>
      <c r="C78" s="1">
        <v>43863</v>
      </c>
      <c r="D78" t="s">
        <v>25</v>
      </c>
      <c r="E78">
        <v>358632</v>
      </c>
      <c r="F78">
        <v>4634346</v>
      </c>
      <c r="G78">
        <v>7.74</v>
      </c>
      <c r="J78" s="4" t="s">
        <v>14</v>
      </c>
      <c r="K78" s="9">
        <v>378825</v>
      </c>
      <c r="L78" s="9">
        <v>352676</v>
      </c>
      <c r="M78" s="9">
        <v>372612</v>
      </c>
      <c r="N78" s="9">
        <v>363220</v>
      </c>
      <c r="P78" s="7">
        <f t="shared" si="6"/>
        <v>368037.66666666669</v>
      </c>
      <c r="Q78" s="7">
        <f t="shared" si="7"/>
        <v>-4817.6666666666861</v>
      </c>
      <c r="R78" s="8">
        <f t="shared" si="8"/>
        <v>-1.3090145664438384E-2</v>
      </c>
      <c r="S78" t="str">
        <f t="shared" si="5"/>
        <v>Down</v>
      </c>
    </row>
    <row r="79" spans="1:19" x14ac:dyDescent="0.45">
      <c r="A79" t="s">
        <v>11</v>
      </c>
      <c r="B79">
        <v>2017</v>
      </c>
      <c r="C79" s="1">
        <v>43863</v>
      </c>
      <c r="D79" t="s">
        <v>25</v>
      </c>
      <c r="E79">
        <v>160194</v>
      </c>
      <c r="F79">
        <v>3015481</v>
      </c>
      <c r="G79">
        <v>5.31</v>
      </c>
      <c r="J79" s="4" t="s">
        <v>15</v>
      </c>
      <c r="K79" s="9">
        <v>628180</v>
      </c>
      <c r="L79" s="9">
        <v>629408</v>
      </c>
      <c r="M79" s="9">
        <v>621095</v>
      </c>
      <c r="N79" s="9">
        <v>669189</v>
      </c>
      <c r="P79" s="7">
        <f t="shared" si="6"/>
        <v>626227.66666666663</v>
      </c>
      <c r="Q79" s="7">
        <f t="shared" si="7"/>
        <v>42961.333333333372</v>
      </c>
      <c r="R79" s="8">
        <f t="shared" si="8"/>
        <v>6.860337800469804E-2</v>
      </c>
      <c r="S79" t="str">
        <f t="shared" si="5"/>
        <v>Up</v>
      </c>
    </row>
    <row r="80" spans="1:19" x14ac:dyDescent="0.45">
      <c r="A80" t="s">
        <v>12</v>
      </c>
      <c r="B80">
        <v>2017</v>
      </c>
      <c r="C80" s="1">
        <v>43863</v>
      </c>
      <c r="D80" t="s">
        <v>25</v>
      </c>
      <c r="E80">
        <v>1428161</v>
      </c>
      <c r="F80">
        <v>17722275</v>
      </c>
      <c r="G80">
        <v>8.06</v>
      </c>
      <c r="J80" s="4" t="s">
        <v>16</v>
      </c>
      <c r="K80" s="9">
        <v>398424</v>
      </c>
      <c r="L80" s="9">
        <v>417548</v>
      </c>
      <c r="M80" s="9">
        <v>434924</v>
      </c>
      <c r="N80" s="9">
        <v>421918</v>
      </c>
      <c r="P80" s="7">
        <f t="shared" si="6"/>
        <v>416965.33333333331</v>
      </c>
      <c r="Q80" s="7">
        <f t="shared" si="7"/>
        <v>4952.6666666666861</v>
      </c>
      <c r="R80" s="8">
        <f t="shared" si="8"/>
        <v>1.1877885931364445E-2</v>
      </c>
      <c r="S80" t="str">
        <f t="shared" si="5"/>
        <v>Up</v>
      </c>
    </row>
    <row r="81" spans="1:19" x14ac:dyDescent="0.45">
      <c r="A81" t="s">
        <v>13</v>
      </c>
      <c r="B81">
        <v>2017</v>
      </c>
      <c r="C81" s="1">
        <v>43863</v>
      </c>
      <c r="D81" t="s">
        <v>25</v>
      </c>
      <c r="E81">
        <v>756099</v>
      </c>
      <c r="F81">
        <v>10556100</v>
      </c>
      <c r="G81">
        <v>7.16</v>
      </c>
      <c r="J81" s="4" t="s">
        <v>17</v>
      </c>
      <c r="K81" s="9">
        <v>1172739</v>
      </c>
      <c r="L81" s="9">
        <v>1188078</v>
      </c>
      <c r="M81" s="9">
        <v>1206157</v>
      </c>
      <c r="N81" s="9">
        <v>1259307</v>
      </c>
      <c r="P81" s="7">
        <f t="shared" si="6"/>
        <v>1188991.3333333333</v>
      </c>
      <c r="Q81" s="7">
        <f t="shared" si="7"/>
        <v>70315.666666666744</v>
      </c>
      <c r="R81" s="8">
        <f t="shared" si="8"/>
        <v>5.9138922795624597E-2</v>
      </c>
      <c r="S81" t="str">
        <f t="shared" si="5"/>
        <v>Up</v>
      </c>
    </row>
    <row r="82" spans="1:19" x14ac:dyDescent="0.45">
      <c r="A82" t="s">
        <v>14</v>
      </c>
      <c r="B82">
        <v>2017</v>
      </c>
      <c r="C82" s="1">
        <v>43863</v>
      </c>
      <c r="D82" t="s">
        <v>25</v>
      </c>
      <c r="E82">
        <v>174181</v>
      </c>
      <c r="F82">
        <v>2356231</v>
      </c>
      <c r="G82">
        <v>7.39</v>
      </c>
      <c r="J82" s="4" t="s">
        <v>18</v>
      </c>
      <c r="K82" s="9">
        <v>1031270</v>
      </c>
      <c r="L82" s="9">
        <v>1071276</v>
      </c>
      <c r="M82" s="9">
        <v>1116334</v>
      </c>
      <c r="N82" s="9">
        <v>1123515</v>
      </c>
      <c r="P82" s="7">
        <f t="shared" si="6"/>
        <v>1072960</v>
      </c>
      <c r="Q82" s="7">
        <f t="shared" si="7"/>
        <v>50555</v>
      </c>
      <c r="R82" s="8">
        <f t="shared" si="8"/>
        <v>4.7117320310169998E-2</v>
      </c>
      <c r="S82" t="str">
        <f t="shared" si="5"/>
        <v>Up</v>
      </c>
    </row>
    <row r="83" spans="1:19" x14ac:dyDescent="0.45">
      <c r="A83" t="s">
        <v>15</v>
      </c>
      <c r="B83">
        <v>2017</v>
      </c>
      <c r="C83" s="1">
        <v>43863</v>
      </c>
      <c r="D83" t="s">
        <v>25</v>
      </c>
      <c r="E83">
        <v>204005</v>
      </c>
      <c r="F83">
        <v>3670568</v>
      </c>
      <c r="G83">
        <v>5.56</v>
      </c>
      <c r="J83" s="4" t="s">
        <v>19</v>
      </c>
      <c r="K83" s="9">
        <v>163044</v>
      </c>
      <c r="L83" s="9">
        <v>163250</v>
      </c>
      <c r="M83" s="9">
        <v>174155</v>
      </c>
      <c r="N83" s="9">
        <v>157261</v>
      </c>
      <c r="P83" s="7">
        <f t="shared" si="6"/>
        <v>166816.33333333334</v>
      </c>
      <c r="Q83" s="7">
        <f t="shared" si="7"/>
        <v>-9555.333333333343</v>
      </c>
      <c r="R83" s="8">
        <f t="shared" si="8"/>
        <v>-5.7280562055274417E-2</v>
      </c>
      <c r="S83" t="str">
        <f t="shared" si="5"/>
        <v>Down</v>
      </c>
    </row>
    <row r="84" spans="1:19" x14ac:dyDescent="0.45">
      <c r="A84" t="s">
        <v>17</v>
      </c>
      <c r="B84">
        <v>2017</v>
      </c>
      <c r="C84" s="1">
        <v>43863</v>
      </c>
      <c r="D84" t="s">
        <v>25</v>
      </c>
      <c r="E84">
        <v>351420</v>
      </c>
      <c r="F84">
        <v>5815595</v>
      </c>
      <c r="G84">
        <v>6.04</v>
      </c>
      <c r="J84" s="4" t="s">
        <v>24</v>
      </c>
      <c r="K84" s="9">
        <v>590894</v>
      </c>
      <c r="L84" s="9">
        <v>476880</v>
      </c>
      <c r="M84" s="9">
        <v>562072</v>
      </c>
      <c r="N84" s="9">
        <v>498853</v>
      </c>
      <c r="P84" s="7">
        <f t="shared" si="6"/>
        <v>543282</v>
      </c>
      <c r="Q84" s="7">
        <f t="shared" si="7"/>
        <v>-44429</v>
      </c>
      <c r="R84" s="8">
        <f t="shared" si="8"/>
        <v>-8.1778891993476682E-2</v>
      </c>
      <c r="S84" t="str">
        <f t="shared" si="5"/>
        <v>Down</v>
      </c>
    </row>
    <row r="85" spans="1:19" x14ac:dyDescent="0.45">
      <c r="A85" t="s">
        <v>18</v>
      </c>
      <c r="B85">
        <v>2017</v>
      </c>
      <c r="C85" s="1">
        <v>43863</v>
      </c>
      <c r="D85" t="s">
        <v>25</v>
      </c>
      <c r="E85">
        <v>405457</v>
      </c>
      <c r="F85">
        <v>5037634</v>
      </c>
      <c r="G85">
        <v>8.0500000000000007</v>
      </c>
      <c r="J85" s="4" t="s">
        <v>20</v>
      </c>
      <c r="K85" s="9">
        <v>4440240</v>
      </c>
      <c r="L85" s="9">
        <v>4570368</v>
      </c>
      <c r="M85" s="9">
        <v>4115433</v>
      </c>
      <c r="N85" s="9">
        <v>4871763</v>
      </c>
      <c r="P85" s="7">
        <f t="shared" si="6"/>
        <v>4375347</v>
      </c>
      <c r="Q85" s="7">
        <f t="shared" si="7"/>
        <v>496416</v>
      </c>
      <c r="R85" s="8">
        <f t="shared" si="8"/>
        <v>0.11345751548391476</v>
      </c>
      <c r="S85" t="str">
        <f t="shared" ref="S85:S110" si="9">IF(R85&gt;0,"Up","Down")</f>
        <v>Up</v>
      </c>
    </row>
    <row r="86" spans="1:19" x14ac:dyDescent="0.45">
      <c r="A86" t="s">
        <v>19</v>
      </c>
      <c r="B86">
        <v>2017</v>
      </c>
      <c r="C86" s="1">
        <v>43863</v>
      </c>
      <c r="D86" t="s">
        <v>25</v>
      </c>
      <c r="E86">
        <v>67286</v>
      </c>
      <c r="F86">
        <v>613251</v>
      </c>
      <c r="G86">
        <v>10.97</v>
      </c>
      <c r="J86" s="4" t="s">
        <v>21</v>
      </c>
      <c r="K86" s="9">
        <v>1171129</v>
      </c>
      <c r="L86" s="9">
        <v>1173972</v>
      </c>
      <c r="M86" s="9">
        <v>1258323</v>
      </c>
      <c r="N86" s="9">
        <v>1285599</v>
      </c>
      <c r="P86" s="7">
        <f t="shared" si="6"/>
        <v>1201141.3333333333</v>
      </c>
      <c r="Q86" s="7">
        <f t="shared" si="7"/>
        <v>84457.666666666744</v>
      </c>
      <c r="R86" s="8">
        <f t="shared" si="8"/>
        <v>7.0314511975276911E-2</v>
      </c>
      <c r="S86" t="str">
        <f t="shared" si="9"/>
        <v>Up</v>
      </c>
    </row>
    <row r="87" spans="1:19" x14ac:dyDescent="0.45">
      <c r="A87" t="s">
        <v>24</v>
      </c>
      <c r="B87">
        <v>2017</v>
      </c>
      <c r="C87" s="1">
        <v>43863</v>
      </c>
      <c r="D87" t="s">
        <v>25</v>
      </c>
      <c r="E87">
        <v>295260</v>
      </c>
      <c r="F87">
        <v>3468412</v>
      </c>
      <c r="G87">
        <v>8.51</v>
      </c>
      <c r="J87" s="4" t="s">
        <v>22</v>
      </c>
      <c r="K87" s="9">
        <v>743664</v>
      </c>
      <c r="L87" s="9">
        <v>499467</v>
      </c>
      <c r="M87" s="9">
        <v>546325</v>
      </c>
      <c r="N87" s="9">
        <v>711565</v>
      </c>
      <c r="P87" s="7">
        <f t="shared" si="6"/>
        <v>596485.33333333337</v>
      </c>
      <c r="Q87" s="7">
        <f t="shared" si="7"/>
        <v>115079.66666666663</v>
      </c>
      <c r="R87" s="8">
        <f t="shared" si="8"/>
        <v>0.19292958306882083</v>
      </c>
      <c r="S87" t="str">
        <f t="shared" si="9"/>
        <v>Up</v>
      </c>
    </row>
    <row r="88" spans="1:19" x14ac:dyDescent="0.45">
      <c r="A88" t="s">
        <v>20</v>
      </c>
      <c r="B88">
        <v>2017</v>
      </c>
      <c r="C88" s="1">
        <v>43863</v>
      </c>
      <c r="D88" t="s">
        <v>25</v>
      </c>
      <c r="E88">
        <v>1813147</v>
      </c>
      <c r="F88">
        <v>22572383</v>
      </c>
      <c r="G88">
        <v>8.0299999999999994</v>
      </c>
      <c r="J88" s="3" t="s">
        <v>32</v>
      </c>
      <c r="K88" s="9">
        <v>19411535</v>
      </c>
      <c r="L88" s="9">
        <v>20215646</v>
      </c>
      <c r="M88" s="9">
        <v>20240380</v>
      </c>
      <c r="N88" s="9">
        <v>19082541</v>
      </c>
      <c r="P88" s="7">
        <f t="shared" si="6"/>
        <v>19955853.666666668</v>
      </c>
      <c r="Q88" s="7">
        <f t="shared" si="7"/>
        <v>-873312.66666666791</v>
      </c>
      <c r="R88" s="8">
        <f t="shared" si="8"/>
        <v>-4.3762230433940737E-2</v>
      </c>
      <c r="S88" t="str">
        <f t="shared" si="9"/>
        <v>Down</v>
      </c>
    </row>
    <row r="89" spans="1:19" x14ac:dyDescent="0.45">
      <c r="A89" t="s">
        <v>21</v>
      </c>
      <c r="B89">
        <v>2017</v>
      </c>
      <c r="C89" s="1">
        <v>43863</v>
      </c>
      <c r="D89" t="s">
        <v>25</v>
      </c>
      <c r="E89">
        <v>461777</v>
      </c>
      <c r="F89">
        <v>7015247</v>
      </c>
      <c r="G89">
        <v>6.58</v>
      </c>
      <c r="J89" s="4" t="s">
        <v>7</v>
      </c>
      <c r="K89" s="9">
        <v>159711</v>
      </c>
      <c r="L89" s="9">
        <v>165615</v>
      </c>
      <c r="M89" s="9">
        <v>172967</v>
      </c>
      <c r="N89" s="9">
        <v>151383</v>
      </c>
      <c r="P89" s="7">
        <f t="shared" si="6"/>
        <v>166097.66666666666</v>
      </c>
      <c r="Q89" s="7">
        <f t="shared" si="7"/>
        <v>-14714.666666666657</v>
      </c>
      <c r="R89" s="8">
        <f t="shared" si="8"/>
        <v>-8.8590447788750748E-2</v>
      </c>
      <c r="S89" t="str">
        <f t="shared" si="9"/>
        <v>Down</v>
      </c>
    </row>
    <row r="90" spans="1:19" x14ac:dyDescent="0.45">
      <c r="A90" t="s">
        <v>7</v>
      </c>
      <c r="B90">
        <v>2017</v>
      </c>
      <c r="C90" s="1">
        <v>43893</v>
      </c>
      <c r="D90" t="s">
        <v>8</v>
      </c>
      <c r="E90">
        <v>57964</v>
      </c>
      <c r="F90">
        <v>593378</v>
      </c>
      <c r="G90">
        <v>9.77</v>
      </c>
      <c r="J90" s="4" t="s">
        <v>9</v>
      </c>
      <c r="K90" s="9">
        <v>358703</v>
      </c>
      <c r="L90" s="9">
        <v>379385</v>
      </c>
      <c r="M90" s="9">
        <v>360039</v>
      </c>
      <c r="N90" s="9">
        <v>424629</v>
      </c>
      <c r="P90" s="7">
        <f t="shared" si="6"/>
        <v>366042.33333333331</v>
      </c>
      <c r="Q90" s="7">
        <f t="shared" si="7"/>
        <v>58586.666666666686</v>
      </c>
      <c r="R90" s="8">
        <f t="shared" si="8"/>
        <v>0.16005434708371624</v>
      </c>
      <c r="S90" t="str">
        <f t="shared" si="9"/>
        <v>Up</v>
      </c>
    </row>
    <row r="91" spans="1:19" x14ac:dyDescent="0.45">
      <c r="A91" t="s">
        <v>9</v>
      </c>
      <c r="B91">
        <v>2017</v>
      </c>
      <c r="C91" s="1">
        <v>43893</v>
      </c>
      <c r="D91" t="s">
        <v>8</v>
      </c>
      <c r="E91">
        <v>118781</v>
      </c>
      <c r="F91">
        <v>2455022</v>
      </c>
      <c r="G91">
        <v>4.84</v>
      </c>
      <c r="J91" s="4" t="s">
        <v>10</v>
      </c>
      <c r="K91" s="9">
        <v>1161497</v>
      </c>
      <c r="L91" s="9">
        <v>1247766</v>
      </c>
      <c r="M91" s="9">
        <v>936504</v>
      </c>
      <c r="N91" s="9">
        <v>1212074</v>
      </c>
      <c r="P91" s="7">
        <f t="shared" ref="P91:P110" si="10">AVERAGE(K91,L91,M91)</f>
        <v>1115255.6666666667</v>
      </c>
      <c r="Q91" s="7">
        <f t="shared" ref="Q91:Q110" si="11">N91-P91</f>
        <v>96818.333333333256</v>
      </c>
      <c r="R91" s="8">
        <f t="shared" ref="R91:R110" si="12">Q91/P91</f>
        <v>8.6812680022248928E-2</v>
      </c>
      <c r="S91" t="str">
        <f t="shared" si="9"/>
        <v>Up</v>
      </c>
    </row>
    <row r="92" spans="1:19" x14ac:dyDescent="0.45">
      <c r="A92" t="s">
        <v>10</v>
      </c>
      <c r="B92">
        <v>2017</v>
      </c>
      <c r="C92" s="1">
        <v>43893</v>
      </c>
      <c r="D92" t="s">
        <v>8</v>
      </c>
      <c r="E92">
        <v>474470</v>
      </c>
      <c r="F92">
        <v>4634346</v>
      </c>
      <c r="G92">
        <v>10.24</v>
      </c>
      <c r="J92" s="12" t="s">
        <v>11</v>
      </c>
      <c r="K92" s="9">
        <v>653994</v>
      </c>
      <c r="L92" s="9">
        <v>663206</v>
      </c>
      <c r="M92" s="9">
        <v>662434</v>
      </c>
      <c r="N92" s="10"/>
      <c r="P92" s="7">
        <f t="shared" si="10"/>
        <v>659878</v>
      </c>
      <c r="Q92" s="7">
        <f t="shared" si="11"/>
        <v>-659878</v>
      </c>
      <c r="R92" s="8">
        <f t="shared" si="12"/>
        <v>-1</v>
      </c>
      <c r="S92" t="str">
        <f t="shared" si="9"/>
        <v>Down</v>
      </c>
    </row>
    <row r="93" spans="1:19" x14ac:dyDescent="0.45">
      <c r="A93" t="s">
        <v>11</v>
      </c>
      <c r="B93">
        <v>2017</v>
      </c>
      <c r="C93" s="1">
        <v>43893</v>
      </c>
      <c r="D93" t="s">
        <v>8</v>
      </c>
      <c r="E93">
        <v>238969</v>
      </c>
      <c r="F93">
        <v>3015481</v>
      </c>
      <c r="G93">
        <v>7.92</v>
      </c>
      <c r="J93" s="4" t="s">
        <v>12</v>
      </c>
      <c r="K93" s="9">
        <v>4073227</v>
      </c>
      <c r="L93" s="9">
        <v>4352185</v>
      </c>
      <c r="M93" s="9">
        <v>4184354</v>
      </c>
      <c r="N93" s="9">
        <v>3932157</v>
      </c>
      <c r="P93" s="7">
        <f t="shared" si="10"/>
        <v>4203255.333333333</v>
      </c>
      <c r="Q93" s="7">
        <f t="shared" si="11"/>
        <v>-271098.33333333302</v>
      </c>
      <c r="R93" s="8">
        <f t="shared" si="12"/>
        <v>-6.4497231748788922E-2</v>
      </c>
      <c r="S93" t="str">
        <f t="shared" si="9"/>
        <v>Down</v>
      </c>
    </row>
    <row r="94" spans="1:19" x14ac:dyDescent="0.45">
      <c r="A94" t="s">
        <v>12</v>
      </c>
      <c r="B94">
        <v>2017</v>
      </c>
      <c r="C94" s="1">
        <v>43893</v>
      </c>
      <c r="D94" t="s">
        <v>8</v>
      </c>
      <c r="E94">
        <v>1733278</v>
      </c>
      <c r="F94">
        <v>17722275</v>
      </c>
      <c r="G94">
        <v>9.7799999999999994</v>
      </c>
      <c r="J94" s="4" t="s">
        <v>13</v>
      </c>
      <c r="K94" s="9">
        <v>2383409</v>
      </c>
      <c r="L94" s="9">
        <v>2527534</v>
      </c>
      <c r="M94" s="9">
        <v>2364618</v>
      </c>
      <c r="N94" s="9">
        <v>2149960</v>
      </c>
      <c r="P94" s="7">
        <f t="shared" si="10"/>
        <v>2425187</v>
      </c>
      <c r="Q94" s="7">
        <f t="shared" si="11"/>
        <v>-275227</v>
      </c>
      <c r="R94" s="8">
        <f t="shared" si="12"/>
        <v>-0.11348691874069917</v>
      </c>
      <c r="S94" t="str">
        <f t="shared" si="9"/>
        <v>Down</v>
      </c>
    </row>
    <row r="95" spans="1:19" x14ac:dyDescent="0.45">
      <c r="A95" t="s">
        <v>13</v>
      </c>
      <c r="B95">
        <v>2017</v>
      </c>
      <c r="C95" s="1">
        <v>43893</v>
      </c>
      <c r="D95" t="s">
        <v>8</v>
      </c>
      <c r="E95">
        <v>726247</v>
      </c>
      <c r="F95">
        <v>10556100</v>
      </c>
      <c r="G95">
        <v>6.88</v>
      </c>
      <c r="J95" s="4" t="s">
        <v>14</v>
      </c>
      <c r="K95" s="9">
        <v>332022</v>
      </c>
      <c r="L95" s="9">
        <v>347163</v>
      </c>
      <c r="M95" s="9">
        <v>388317</v>
      </c>
      <c r="N95" s="9">
        <v>361157</v>
      </c>
      <c r="P95" s="7">
        <f t="shared" si="10"/>
        <v>355834</v>
      </c>
      <c r="Q95" s="7">
        <f t="shared" si="11"/>
        <v>5323</v>
      </c>
      <c r="R95" s="8">
        <f t="shared" si="12"/>
        <v>1.4959222558833614E-2</v>
      </c>
      <c r="S95" t="str">
        <f t="shared" si="9"/>
        <v>Up</v>
      </c>
    </row>
    <row r="96" spans="1:19" x14ac:dyDescent="0.45">
      <c r="A96" t="s">
        <v>14</v>
      </c>
      <c r="B96">
        <v>2017</v>
      </c>
      <c r="C96" s="1">
        <v>43893</v>
      </c>
      <c r="D96" t="s">
        <v>8</v>
      </c>
      <c r="E96">
        <v>141872</v>
      </c>
      <c r="F96">
        <v>2356231</v>
      </c>
      <c r="G96">
        <v>6.02</v>
      </c>
      <c r="J96" s="4" t="s">
        <v>15</v>
      </c>
      <c r="K96" s="9">
        <v>569145</v>
      </c>
      <c r="L96" s="9">
        <v>604173</v>
      </c>
      <c r="M96" s="9">
        <v>661605</v>
      </c>
      <c r="N96" s="9">
        <v>668871</v>
      </c>
      <c r="P96" s="7">
        <f t="shared" si="10"/>
        <v>611641</v>
      </c>
      <c r="Q96" s="7">
        <f t="shared" si="11"/>
        <v>57230</v>
      </c>
      <c r="R96" s="8">
        <f t="shared" si="12"/>
        <v>9.3567958982475011E-2</v>
      </c>
      <c r="S96" t="str">
        <f t="shared" si="9"/>
        <v>Up</v>
      </c>
    </row>
    <row r="97" spans="1:19" x14ac:dyDescent="0.45">
      <c r="A97" t="s">
        <v>15</v>
      </c>
      <c r="B97">
        <v>2017</v>
      </c>
      <c r="C97" s="1">
        <v>43893</v>
      </c>
      <c r="D97" t="s">
        <v>8</v>
      </c>
      <c r="E97">
        <v>279932</v>
      </c>
      <c r="F97">
        <v>3670568</v>
      </c>
      <c r="G97">
        <v>7.63</v>
      </c>
      <c r="J97" s="4" t="s">
        <v>16</v>
      </c>
      <c r="K97" s="9">
        <v>435335</v>
      </c>
      <c r="L97" s="9">
        <v>467856</v>
      </c>
      <c r="M97" s="9">
        <v>470537</v>
      </c>
      <c r="N97" s="9">
        <v>463804</v>
      </c>
      <c r="P97" s="7">
        <f t="shared" si="10"/>
        <v>457909.33333333331</v>
      </c>
      <c r="Q97" s="7">
        <f t="shared" si="11"/>
        <v>5894.6666666666861</v>
      </c>
      <c r="R97" s="8">
        <f t="shared" si="12"/>
        <v>1.2872999603997341E-2</v>
      </c>
      <c r="S97" t="str">
        <f t="shared" si="9"/>
        <v>Up</v>
      </c>
    </row>
    <row r="98" spans="1:19" x14ac:dyDescent="0.45">
      <c r="A98" t="s">
        <v>16</v>
      </c>
      <c r="B98">
        <v>2017</v>
      </c>
      <c r="C98" s="1">
        <v>43893</v>
      </c>
      <c r="D98" t="s">
        <v>8</v>
      </c>
      <c r="E98">
        <v>334601</v>
      </c>
      <c r="F98">
        <v>3807282</v>
      </c>
      <c r="G98">
        <v>8.7899999999999991</v>
      </c>
      <c r="J98" s="4" t="s">
        <v>17</v>
      </c>
      <c r="K98" s="9">
        <v>1395388</v>
      </c>
      <c r="L98" s="9">
        <v>1386865</v>
      </c>
      <c r="M98" s="9">
        <v>1468126</v>
      </c>
      <c r="N98" s="9">
        <v>1202804</v>
      </c>
      <c r="P98" s="7">
        <f t="shared" si="10"/>
        <v>1416793</v>
      </c>
      <c r="Q98" s="7">
        <f t="shared" si="11"/>
        <v>-213989</v>
      </c>
      <c r="R98" s="8">
        <f t="shared" si="12"/>
        <v>-0.15103758982434273</v>
      </c>
      <c r="S98" t="str">
        <f t="shared" si="9"/>
        <v>Down</v>
      </c>
    </row>
    <row r="99" spans="1:19" x14ac:dyDescent="0.45">
      <c r="A99" t="s">
        <v>17</v>
      </c>
      <c r="B99">
        <v>2017</v>
      </c>
      <c r="C99" s="1">
        <v>43893</v>
      </c>
      <c r="D99" t="s">
        <v>8</v>
      </c>
      <c r="E99">
        <v>498341</v>
      </c>
      <c r="F99">
        <v>5815595</v>
      </c>
      <c r="G99">
        <v>8.57</v>
      </c>
      <c r="J99" s="4" t="s">
        <v>18</v>
      </c>
      <c r="K99" s="9">
        <v>1146884</v>
      </c>
      <c r="L99" s="9">
        <v>1169044</v>
      </c>
      <c r="M99" s="9">
        <v>1219734</v>
      </c>
      <c r="N99" s="9">
        <v>1113204</v>
      </c>
      <c r="P99" s="7">
        <f t="shared" si="10"/>
        <v>1178554</v>
      </c>
      <c r="Q99" s="7">
        <f t="shared" si="11"/>
        <v>-65350</v>
      </c>
      <c r="R99" s="8">
        <f t="shared" si="12"/>
        <v>-5.5449304826083491E-2</v>
      </c>
      <c r="S99" t="str">
        <f t="shared" si="9"/>
        <v>Down</v>
      </c>
    </row>
    <row r="100" spans="1:19" x14ac:dyDescent="0.45">
      <c r="A100" t="s">
        <v>18</v>
      </c>
      <c r="B100">
        <v>2017</v>
      </c>
      <c r="C100" s="1">
        <v>43893</v>
      </c>
      <c r="D100" t="s">
        <v>8</v>
      </c>
      <c r="E100">
        <v>437490</v>
      </c>
      <c r="F100">
        <v>5037634</v>
      </c>
      <c r="G100">
        <v>8.68</v>
      </c>
      <c r="J100" s="4" t="s">
        <v>19</v>
      </c>
      <c r="K100" s="9">
        <v>184089</v>
      </c>
      <c r="L100" s="9">
        <v>178981</v>
      </c>
      <c r="M100" s="9">
        <v>175066</v>
      </c>
      <c r="N100" s="9">
        <v>160175</v>
      </c>
      <c r="P100" s="7">
        <f t="shared" si="10"/>
        <v>179378.66666666666</v>
      </c>
      <c r="Q100" s="7">
        <f t="shared" si="11"/>
        <v>-19203.666666666657</v>
      </c>
      <c r="R100" s="8">
        <f t="shared" si="12"/>
        <v>-0.10705658049266352</v>
      </c>
      <c r="S100" t="str">
        <f t="shared" si="9"/>
        <v>Down</v>
      </c>
    </row>
    <row r="101" spans="1:19" x14ac:dyDescent="0.45">
      <c r="A101" t="s">
        <v>19</v>
      </c>
      <c r="B101">
        <v>2017</v>
      </c>
      <c r="C101" s="1">
        <v>43893</v>
      </c>
      <c r="D101" t="s">
        <v>8</v>
      </c>
      <c r="E101">
        <v>66611</v>
      </c>
      <c r="F101">
        <v>613251</v>
      </c>
      <c r="G101">
        <v>10.86</v>
      </c>
      <c r="J101" s="4" t="s">
        <v>24</v>
      </c>
      <c r="K101" s="9">
        <v>468002</v>
      </c>
      <c r="L101" s="9">
        <v>521887</v>
      </c>
      <c r="M101" s="9">
        <v>559355</v>
      </c>
      <c r="N101" s="9">
        <v>531452</v>
      </c>
      <c r="P101" s="7">
        <f t="shared" si="10"/>
        <v>516414.66666666669</v>
      </c>
      <c r="Q101" s="7">
        <f t="shared" si="11"/>
        <v>15037.333333333314</v>
      </c>
      <c r="R101" s="8">
        <f t="shared" si="12"/>
        <v>2.9118718549176206E-2</v>
      </c>
      <c r="S101" t="str">
        <f t="shared" si="9"/>
        <v>Up</v>
      </c>
    </row>
    <row r="102" spans="1:19" x14ac:dyDescent="0.45">
      <c r="A102" t="s">
        <v>20</v>
      </c>
      <c r="B102">
        <v>2017</v>
      </c>
      <c r="C102" s="1">
        <v>43893</v>
      </c>
      <c r="D102" t="s">
        <v>8</v>
      </c>
      <c r="E102">
        <v>1066977</v>
      </c>
      <c r="F102">
        <v>22572383</v>
      </c>
      <c r="G102">
        <v>4.7300000000000004</v>
      </c>
      <c r="J102" s="4" t="s">
        <v>20</v>
      </c>
      <c r="K102" s="9">
        <v>4160218</v>
      </c>
      <c r="L102" s="9">
        <v>4068981</v>
      </c>
      <c r="M102" s="9">
        <v>4570539</v>
      </c>
      <c r="N102" s="9">
        <v>4664890</v>
      </c>
      <c r="P102" s="7">
        <f t="shared" si="10"/>
        <v>4266579.333333333</v>
      </c>
      <c r="Q102" s="7">
        <f t="shared" si="11"/>
        <v>398310.66666666698</v>
      </c>
      <c r="R102" s="8">
        <f t="shared" si="12"/>
        <v>9.3355973380080198E-2</v>
      </c>
      <c r="S102" t="str">
        <f t="shared" si="9"/>
        <v>Up</v>
      </c>
    </row>
    <row r="103" spans="1:19" x14ac:dyDescent="0.45">
      <c r="A103" t="s">
        <v>21</v>
      </c>
      <c r="B103">
        <v>2017</v>
      </c>
      <c r="C103" s="1">
        <v>43893</v>
      </c>
      <c r="D103" t="s">
        <v>8</v>
      </c>
      <c r="E103">
        <v>387968</v>
      </c>
      <c r="F103">
        <v>7015247</v>
      </c>
      <c r="G103">
        <v>5.53</v>
      </c>
      <c r="J103" s="4" t="s">
        <v>21</v>
      </c>
      <c r="K103" s="9">
        <v>1352211</v>
      </c>
      <c r="L103" s="9">
        <v>1395983</v>
      </c>
      <c r="M103" s="9">
        <v>1428694</v>
      </c>
      <c r="N103" s="9">
        <v>1421088</v>
      </c>
      <c r="P103" s="7">
        <f t="shared" si="10"/>
        <v>1392296</v>
      </c>
      <c r="Q103" s="7">
        <f t="shared" si="11"/>
        <v>28792</v>
      </c>
      <c r="R103" s="8">
        <f t="shared" si="12"/>
        <v>2.067951067876371E-2</v>
      </c>
      <c r="S103" t="str">
        <f t="shared" si="9"/>
        <v>Up</v>
      </c>
    </row>
    <row r="104" spans="1:19" x14ac:dyDescent="0.45">
      <c r="A104" t="s">
        <v>22</v>
      </c>
      <c r="B104">
        <v>2017</v>
      </c>
      <c r="C104" s="1">
        <v>43893</v>
      </c>
      <c r="D104" t="s">
        <v>8</v>
      </c>
      <c r="E104">
        <v>377881</v>
      </c>
      <c r="F104">
        <v>4805415</v>
      </c>
      <c r="G104">
        <v>7.86</v>
      </c>
      <c r="J104" s="4" t="s">
        <v>22</v>
      </c>
      <c r="K104" s="9">
        <v>577700</v>
      </c>
      <c r="L104" s="9">
        <v>739022</v>
      </c>
      <c r="M104" s="9">
        <v>617491</v>
      </c>
      <c r="N104" s="9">
        <v>624893</v>
      </c>
      <c r="P104" s="7">
        <f t="shared" si="10"/>
        <v>644737.66666666663</v>
      </c>
      <c r="Q104" s="7">
        <f t="shared" si="11"/>
        <v>-19844.666666666628</v>
      </c>
      <c r="R104" s="8">
        <f t="shared" si="12"/>
        <v>-3.0779443629010812E-2</v>
      </c>
      <c r="S104" t="str">
        <f t="shared" si="9"/>
        <v>Down</v>
      </c>
    </row>
    <row r="105" spans="1:19" x14ac:dyDescent="0.45">
      <c r="A105" t="s">
        <v>7</v>
      </c>
      <c r="B105">
        <v>2017</v>
      </c>
      <c r="C105" s="1">
        <v>43893</v>
      </c>
      <c r="D105" t="s">
        <v>23</v>
      </c>
      <c r="E105">
        <v>26799</v>
      </c>
      <c r="F105">
        <v>593378</v>
      </c>
      <c r="G105">
        <v>4.5199999999999996</v>
      </c>
      <c r="J105" s="3" t="s">
        <v>33</v>
      </c>
      <c r="K105" s="9">
        <v>21796381</v>
      </c>
      <c r="L105" s="9">
        <v>21440173</v>
      </c>
      <c r="M105" s="9">
        <v>21022400</v>
      </c>
      <c r="N105" s="9">
        <v>19369991</v>
      </c>
      <c r="P105" s="7">
        <f t="shared" si="10"/>
        <v>21419651.333333332</v>
      </c>
      <c r="Q105" s="7">
        <f t="shared" si="11"/>
        <v>-2049660.3333333321</v>
      </c>
      <c r="R105" s="8">
        <f t="shared" si="12"/>
        <v>-9.5690648808257867E-2</v>
      </c>
      <c r="S105" t="str">
        <f t="shared" si="9"/>
        <v>Down</v>
      </c>
    </row>
    <row r="106" spans="1:19" x14ac:dyDescent="0.45">
      <c r="A106" t="s">
        <v>9</v>
      </c>
      <c r="B106">
        <v>2017</v>
      </c>
      <c r="C106" s="1">
        <v>43893</v>
      </c>
      <c r="D106" t="s">
        <v>23</v>
      </c>
      <c r="E106">
        <v>39087</v>
      </c>
      <c r="F106">
        <v>2455022</v>
      </c>
      <c r="G106">
        <v>1.59</v>
      </c>
      <c r="J106" s="4" t="s">
        <v>7</v>
      </c>
      <c r="K106" s="9">
        <v>180285</v>
      </c>
      <c r="L106" s="9">
        <v>172984</v>
      </c>
      <c r="M106" s="9">
        <v>168802</v>
      </c>
      <c r="N106" s="9">
        <v>157595</v>
      </c>
      <c r="P106" s="7">
        <f t="shared" si="10"/>
        <v>174023.66666666666</v>
      </c>
      <c r="Q106" s="7">
        <f t="shared" si="11"/>
        <v>-16428.666666666657</v>
      </c>
      <c r="R106" s="8">
        <f t="shared" si="12"/>
        <v>-9.4404784023628924E-2</v>
      </c>
      <c r="S106" t="str">
        <f t="shared" si="9"/>
        <v>Down</v>
      </c>
    </row>
    <row r="107" spans="1:19" x14ac:dyDescent="0.45">
      <c r="A107" t="s">
        <v>10</v>
      </c>
      <c r="B107">
        <v>2017</v>
      </c>
      <c r="C107" s="1">
        <v>43893</v>
      </c>
      <c r="D107" t="s">
        <v>23</v>
      </c>
      <c r="E107">
        <v>195612</v>
      </c>
      <c r="F107">
        <v>4634346</v>
      </c>
      <c r="G107">
        <v>4.22</v>
      </c>
      <c r="J107" s="4" t="s">
        <v>9</v>
      </c>
      <c r="K107" s="9">
        <v>396743</v>
      </c>
      <c r="L107" s="9">
        <v>392640</v>
      </c>
      <c r="M107" s="9">
        <v>442727</v>
      </c>
      <c r="N107" s="9">
        <v>411505</v>
      </c>
      <c r="P107" s="7">
        <f t="shared" si="10"/>
        <v>410703.33333333331</v>
      </c>
      <c r="Q107" s="7">
        <f t="shared" si="11"/>
        <v>801.66666666668607</v>
      </c>
      <c r="R107" s="8">
        <f t="shared" si="12"/>
        <v>1.9519361096006511E-3</v>
      </c>
      <c r="S107" t="str">
        <f t="shared" si="9"/>
        <v>Up</v>
      </c>
    </row>
    <row r="108" spans="1:19" x14ac:dyDescent="0.45">
      <c r="A108" t="s">
        <v>11</v>
      </c>
      <c r="B108">
        <v>2017</v>
      </c>
      <c r="C108" s="1">
        <v>43893</v>
      </c>
      <c r="D108" t="s">
        <v>23</v>
      </c>
      <c r="E108">
        <v>167437</v>
      </c>
      <c r="F108">
        <v>3015481</v>
      </c>
      <c r="G108">
        <v>5.55</v>
      </c>
      <c r="J108" s="12" t="s">
        <v>10</v>
      </c>
      <c r="K108" s="9">
        <v>1373094</v>
      </c>
      <c r="L108" s="9">
        <v>1352086</v>
      </c>
      <c r="M108" s="9">
        <v>1323703</v>
      </c>
      <c r="N108" s="10"/>
      <c r="P108" s="7">
        <f t="shared" si="10"/>
        <v>1349627.6666666667</v>
      </c>
      <c r="Q108" s="7">
        <f t="shared" si="11"/>
        <v>-1349627.6666666667</v>
      </c>
      <c r="R108" s="8">
        <f t="shared" si="12"/>
        <v>-1</v>
      </c>
      <c r="S108" t="str">
        <f t="shared" si="9"/>
        <v>Down</v>
      </c>
    </row>
    <row r="109" spans="1:19" x14ac:dyDescent="0.45">
      <c r="A109" t="s">
        <v>12</v>
      </c>
      <c r="B109">
        <v>2017</v>
      </c>
      <c r="C109" s="1">
        <v>43893</v>
      </c>
      <c r="D109" t="s">
        <v>23</v>
      </c>
      <c r="E109">
        <v>929590</v>
      </c>
      <c r="F109">
        <v>17722275</v>
      </c>
      <c r="G109">
        <v>5.25</v>
      </c>
      <c r="J109" s="12" t="s">
        <v>11</v>
      </c>
      <c r="K109" s="9">
        <v>751134</v>
      </c>
      <c r="L109" s="9">
        <v>705107</v>
      </c>
      <c r="M109" s="9">
        <v>663484</v>
      </c>
      <c r="N109" s="10"/>
      <c r="P109" s="7">
        <f t="shared" si="10"/>
        <v>706575</v>
      </c>
      <c r="Q109" s="7">
        <f t="shared" si="11"/>
        <v>-706575</v>
      </c>
      <c r="R109" s="8">
        <f t="shared" si="12"/>
        <v>-1</v>
      </c>
      <c r="S109" t="str">
        <f t="shared" si="9"/>
        <v>Down</v>
      </c>
    </row>
    <row r="110" spans="1:19" x14ac:dyDescent="0.45">
      <c r="A110" t="s">
        <v>13</v>
      </c>
      <c r="B110">
        <v>2017</v>
      </c>
      <c r="C110" s="1">
        <v>43893</v>
      </c>
      <c r="D110" t="s">
        <v>23</v>
      </c>
      <c r="E110">
        <v>387984</v>
      </c>
      <c r="F110">
        <v>10556100</v>
      </c>
      <c r="G110">
        <v>3.68</v>
      </c>
      <c r="J110" s="4" t="s">
        <v>12</v>
      </c>
      <c r="K110" s="9">
        <v>4270886</v>
      </c>
      <c r="L110" s="9">
        <v>4188454</v>
      </c>
      <c r="M110" s="9">
        <v>4104823</v>
      </c>
      <c r="N110" s="9">
        <v>4477656</v>
      </c>
      <c r="P110" s="7">
        <f t="shared" si="10"/>
        <v>4188054.3333333335</v>
      </c>
      <c r="Q110" s="7">
        <f t="shared" si="11"/>
        <v>289601.66666666651</v>
      </c>
      <c r="R110" s="8">
        <f t="shared" si="12"/>
        <v>6.9149453091304172E-2</v>
      </c>
      <c r="S110" t="str">
        <f t="shared" si="9"/>
        <v>Up</v>
      </c>
    </row>
    <row r="111" spans="1:19" x14ac:dyDescent="0.45">
      <c r="A111" t="s">
        <v>15</v>
      </c>
      <c r="B111">
        <v>2017</v>
      </c>
      <c r="C111" s="1">
        <v>43893</v>
      </c>
      <c r="D111" t="s">
        <v>23</v>
      </c>
      <c r="E111">
        <v>41329</v>
      </c>
      <c r="F111">
        <v>3670568</v>
      </c>
      <c r="G111">
        <v>1.1299999999999999</v>
      </c>
      <c r="J111" s="4" t="s">
        <v>13</v>
      </c>
      <c r="K111" s="9">
        <v>2677649</v>
      </c>
      <c r="L111" s="9">
        <v>2512429</v>
      </c>
      <c r="M111" s="9">
        <v>2453056</v>
      </c>
      <c r="N111" s="9">
        <v>2453843</v>
      </c>
    </row>
    <row r="112" spans="1:19" x14ac:dyDescent="0.45">
      <c r="A112" t="s">
        <v>16</v>
      </c>
      <c r="B112">
        <v>2017</v>
      </c>
      <c r="C112" s="1">
        <v>43893</v>
      </c>
      <c r="D112" t="s">
        <v>23</v>
      </c>
      <c r="E112">
        <v>109602</v>
      </c>
      <c r="F112">
        <v>3807282</v>
      </c>
      <c r="G112">
        <v>2.88</v>
      </c>
      <c r="J112" s="4" t="s">
        <v>14</v>
      </c>
      <c r="K112" s="9">
        <v>363660</v>
      </c>
      <c r="L112" s="9">
        <v>395195</v>
      </c>
      <c r="M112" s="9">
        <v>415187</v>
      </c>
      <c r="N112" s="9">
        <v>426922</v>
      </c>
    </row>
    <row r="113" spans="1:14" x14ac:dyDescent="0.45">
      <c r="A113" t="s">
        <v>17</v>
      </c>
      <c r="B113">
        <v>2017</v>
      </c>
      <c r="C113" s="1">
        <v>43893</v>
      </c>
      <c r="D113" t="s">
        <v>23</v>
      </c>
      <c r="E113">
        <v>351241</v>
      </c>
      <c r="F113">
        <v>5815595</v>
      </c>
      <c r="G113">
        <v>6.04</v>
      </c>
      <c r="J113" s="4" t="s">
        <v>15</v>
      </c>
      <c r="K113" s="9">
        <v>658386</v>
      </c>
      <c r="L113" s="9">
        <v>653551</v>
      </c>
      <c r="M113" s="9">
        <v>576315</v>
      </c>
      <c r="N113" s="9">
        <v>652228</v>
      </c>
    </row>
    <row r="114" spans="1:14" x14ac:dyDescent="0.45">
      <c r="A114" t="s">
        <v>18</v>
      </c>
      <c r="B114">
        <v>2017</v>
      </c>
      <c r="C114" s="1">
        <v>43893</v>
      </c>
      <c r="D114" t="s">
        <v>23</v>
      </c>
      <c r="E114">
        <v>172919</v>
      </c>
      <c r="F114">
        <v>5037634</v>
      </c>
      <c r="G114">
        <v>3.43</v>
      </c>
      <c r="J114" s="4" t="s">
        <v>16</v>
      </c>
      <c r="K114" s="9">
        <v>467976</v>
      </c>
      <c r="L114" s="9">
        <v>435790</v>
      </c>
      <c r="M114" s="9">
        <v>413554</v>
      </c>
      <c r="N114" s="9">
        <v>458178</v>
      </c>
    </row>
    <row r="115" spans="1:14" x14ac:dyDescent="0.45">
      <c r="A115" t="s">
        <v>19</v>
      </c>
      <c r="B115">
        <v>2017</v>
      </c>
      <c r="C115" s="1">
        <v>43893</v>
      </c>
      <c r="D115" t="s">
        <v>23</v>
      </c>
      <c r="E115">
        <v>16270</v>
      </c>
      <c r="F115">
        <v>613251</v>
      </c>
      <c r="G115">
        <v>2.65</v>
      </c>
      <c r="J115" s="4" t="s">
        <v>17</v>
      </c>
      <c r="K115" s="9">
        <v>1767845</v>
      </c>
      <c r="L115" s="9">
        <v>1704252</v>
      </c>
      <c r="M115" s="9">
        <v>1604785</v>
      </c>
      <c r="N115" s="9">
        <v>1686331</v>
      </c>
    </row>
    <row r="116" spans="1:14" x14ac:dyDescent="0.45">
      <c r="A116" t="s">
        <v>24</v>
      </c>
      <c r="B116">
        <v>2017</v>
      </c>
      <c r="C116" s="1">
        <v>43893</v>
      </c>
      <c r="D116" t="s">
        <v>23</v>
      </c>
      <c r="E116">
        <v>165787</v>
      </c>
      <c r="F116">
        <v>3468412</v>
      </c>
      <c r="G116">
        <v>4.78</v>
      </c>
      <c r="J116" s="4" t="s">
        <v>18</v>
      </c>
      <c r="K116" s="9">
        <v>1219544</v>
      </c>
      <c r="L116" s="9">
        <v>1171687</v>
      </c>
      <c r="M116" s="9">
        <v>1165688</v>
      </c>
      <c r="N116" s="9">
        <v>1291738</v>
      </c>
    </row>
    <row r="117" spans="1:14" x14ac:dyDescent="0.45">
      <c r="A117" t="s">
        <v>20</v>
      </c>
      <c r="B117">
        <v>2017</v>
      </c>
      <c r="C117" s="1">
        <v>43893</v>
      </c>
      <c r="D117" t="s">
        <v>23</v>
      </c>
      <c r="E117">
        <v>600989</v>
      </c>
      <c r="F117">
        <v>22572383</v>
      </c>
      <c r="G117">
        <v>2.66</v>
      </c>
      <c r="J117" s="4" t="s">
        <v>19</v>
      </c>
      <c r="K117" s="9">
        <v>200343</v>
      </c>
      <c r="L117" s="9">
        <v>208052</v>
      </c>
      <c r="M117" s="9">
        <v>190882</v>
      </c>
      <c r="N117" s="9">
        <v>208689</v>
      </c>
    </row>
    <row r="118" spans="1:14" x14ac:dyDescent="0.45">
      <c r="A118" t="s">
        <v>21</v>
      </c>
      <c r="B118">
        <v>2017</v>
      </c>
      <c r="C118" s="1">
        <v>43893</v>
      </c>
      <c r="D118" t="s">
        <v>23</v>
      </c>
      <c r="E118">
        <v>284476</v>
      </c>
      <c r="F118">
        <v>7015247</v>
      </c>
      <c r="G118">
        <v>4.0599999999999996</v>
      </c>
      <c r="J118" s="4" t="s">
        <v>24</v>
      </c>
      <c r="K118" s="9">
        <v>564528</v>
      </c>
      <c r="L118" s="9">
        <v>557209</v>
      </c>
      <c r="M118" s="9">
        <v>500050</v>
      </c>
      <c r="N118" s="9">
        <v>513689</v>
      </c>
    </row>
    <row r="119" spans="1:14" x14ac:dyDescent="0.45">
      <c r="A119" t="s">
        <v>22</v>
      </c>
      <c r="B119">
        <v>2017</v>
      </c>
      <c r="C119" s="1">
        <v>43893</v>
      </c>
      <c r="D119" t="s">
        <v>23</v>
      </c>
      <c r="E119">
        <v>131897</v>
      </c>
      <c r="F119">
        <v>4805415</v>
      </c>
      <c r="G119">
        <v>2.74</v>
      </c>
      <c r="J119" s="4" t="s">
        <v>20</v>
      </c>
      <c r="K119" s="9">
        <v>4781577</v>
      </c>
      <c r="L119" s="9">
        <v>4932778</v>
      </c>
      <c r="M119" s="9">
        <v>4959109</v>
      </c>
      <c r="N119" s="9">
        <v>5169829</v>
      </c>
    </row>
    <row r="120" spans="1:14" x14ac:dyDescent="0.45">
      <c r="A120" t="s">
        <v>7</v>
      </c>
      <c r="B120">
        <v>2017</v>
      </c>
      <c r="C120" s="1">
        <v>43893</v>
      </c>
      <c r="D120" t="s">
        <v>25</v>
      </c>
      <c r="E120">
        <v>49693</v>
      </c>
      <c r="F120">
        <v>593378</v>
      </c>
      <c r="G120">
        <v>8.3699999999999992</v>
      </c>
      <c r="J120" s="4" t="s">
        <v>21</v>
      </c>
      <c r="K120" s="9">
        <v>1373218</v>
      </c>
      <c r="L120" s="9">
        <v>1327672</v>
      </c>
      <c r="M120" s="9">
        <v>1277867</v>
      </c>
      <c r="N120" s="9">
        <v>780497</v>
      </c>
    </row>
    <row r="121" spans="1:14" x14ac:dyDescent="0.45">
      <c r="A121" t="s">
        <v>9</v>
      </c>
      <c r="B121">
        <v>2017</v>
      </c>
      <c r="C121" s="1">
        <v>43893</v>
      </c>
      <c r="D121" t="s">
        <v>25</v>
      </c>
      <c r="E121">
        <v>169689</v>
      </c>
      <c r="F121">
        <v>2455022</v>
      </c>
      <c r="G121">
        <v>6.91</v>
      </c>
      <c r="J121" s="4" t="s">
        <v>22</v>
      </c>
      <c r="K121" s="9">
        <v>749513</v>
      </c>
      <c r="L121" s="9">
        <v>730287</v>
      </c>
      <c r="M121" s="9">
        <v>762368</v>
      </c>
      <c r="N121" s="9">
        <v>681291</v>
      </c>
    </row>
    <row r="122" spans="1:14" x14ac:dyDescent="0.45">
      <c r="A122" t="s">
        <v>10</v>
      </c>
      <c r="B122">
        <v>2017</v>
      </c>
      <c r="C122" s="1">
        <v>43893</v>
      </c>
      <c r="D122" t="s">
        <v>25</v>
      </c>
      <c r="E122">
        <v>443169</v>
      </c>
      <c r="F122">
        <v>4634346</v>
      </c>
      <c r="G122">
        <v>9.56</v>
      </c>
      <c r="J122" s="3" t="s">
        <v>34</v>
      </c>
      <c r="K122" s="9">
        <v>18251423</v>
      </c>
      <c r="L122" s="9">
        <v>18733618</v>
      </c>
      <c r="M122" s="9">
        <v>19369175</v>
      </c>
      <c r="N122" s="9"/>
    </row>
    <row r="123" spans="1:14" x14ac:dyDescent="0.45">
      <c r="A123" t="s">
        <v>11</v>
      </c>
      <c r="B123">
        <v>2017</v>
      </c>
      <c r="C123" s="1">
        <v>43893</v>
      </c>
      <c r="D123" t="s">
        <v>25</v>
      </c>
      <c r="E123">
        <v>193183</v>
      </c>
      <c r="F123">
        <v>3015481</v>
      </c>
      <c r="G123">
        <v>6.41</v>
      </c>
      <c r="J123" s="4" t="s">
        <v>7</v>
      </c>
      <c r="K123" s="9">
        <v>152218</v>
      </c>
      <c r="L123" s="9">
        <v>171865</v>
      </c>
      <c r="M123" s="9">
        <v>186508</v>
      </c>
      <c r="N123" s="9"/>
    </row>
    <row r="124" spans="1:14" x14ac:dyDescent="0.45">
      <c r="A124" t="s">
        <v>12</v>
      </c>
      <c r="B124">
        <v>2017</v>
      </c>
      <c r="C124" s="1">
        <v>43893</v>
      </c>
      <c r="D124" t="s">
        <v>25</v>
      </c>
      <c r="E124">
        <v>1819369</v>
      </c>
      <c r="F124">
        <v>17722275</v>
      </c>
      <c r="G124">
        <v>10.27</v>
      </c>
      <c r="J124" s="4" t="s">
        <v>9</v>
      </c>
      <c r="K124" s="9">
        <v>425078</v>
      </c>
      <c r="L124" s="9">
        <v>387689</v>
      </c>
      <c r="M124" s="9">
        <v>369358</v>
      </c>
      <c r="N124" s="9"/>
    </row>
    <row r="125" spans="1:14" x14ac:dyDescent="0.45">
      <c r="A125" t="s">
        <v>13</v>
      </c>
      <c r="B125">
        <v>2017</v>
      </c>
      <c r="C125" s="1">
        <v>43893</v>
      </c>
      <c r="D125" t="s">
        <v>25</v>
      </c>
      <c r="E125">
        <v>946462</v>
      </c>
      <c r="F125">
        <v>10556100</v>
      </c>
      <c r="G125">
        <v>8.9700000000000006</v>
      </c>
      <c r="J125" s="4" t="s">
        <v>10</v>
      </c>
      <c r="K125" s="9">
        <v>1021791</v>
      </c>
      <c r="L125" s="9">
        <v>1141093</v>
      </c>
      <c r="M125" s="9">
        <v>1211905</v>
      </c>
      <c r="N125" s="9"/>
    </row>
    <row r="126" spans="1:14" x14ac:dyDescent="0.45">
      <c r="A126" t="s">
        <v>14</v>
      </c>
      <c r="B126">
        <v>2017</v>
      </c>
      <c r="C126" s="1">
        <v>43893</v>
      </c>
      <c r="D126" t="s">
        <v>25</v>
      </c>
      <c r="E126">
        <v>175160</v>
      </c>
      <c r="F126">
        <v>2356231</v>
      </c>
      <c r="G126">
        <v>7.43</v>
      </c>
      <c r="J126" s="4" t="s">
        <v>11</v>
      </c>
      <c r="K126" s="9">
        <v>601297</v>
      </c>
      <c r="L126" s="9">
        <v>641993</v>
      </c>
      <c r="M126" s="9">
        <v>668547</v>
      </c>
      <c r="N126" s="9"/>
    </row>
    <row r="127" spans="1:14" x14ac:dyDescent="0.45">
      <c r="A127" t="s">
        <v>15</v>
      </c>
      <c r="B127">
        <v>2017</v>
      </c>
      <c r="C127" s="1">
        <v>43893</v>
      </c>
      <c r="D127" t="s">
        <v>25</v>
      </c>
      <c r="E127">
        <v>282885</v>
      </c>
      <c r="F127">
        <v>3670568</v>
      </c>
      <c r="G127">
        <v>7.71</v>
      </c>
      <c r="J127" s="4" t="s">
        <v>12</v>
      </c>
      <c r="K127" s="9">
        <v>3142784</v>
      </c>
      <c r="L127" s="9">
        <v>3396710</v>
      </c>
      <c r="M127" s="9">
        <v>3602287</v>
      </c>
      <c r="N127" s="9"/>
    </row>
    <row r="128" spans="1:14" x14ac:dyDescent="0.45">
      <c r="A128" t="s">
        <v>17</v>
      </c>
      <c r="B128">
        <v>2017</v>
      </c>
      <c r="C128" s="1">
        <v>43893</v>
      </c>
      <c r="D128" t="s">
        <v>25</v>
      </c>
      <c r="E128">
        <v>471045</v>
      </c>
      <c r="F128">
        <v>5815595</v>
      </c>
      <c r="G128">
        <v>8.1</v>
      </c>
      <c r="J128" s="4" t="s">
        <v>13</v>
      </c>
      <c r="K128" s="9">
        <v>1787918</v>
      </c>
      <c r="L128" s="9">
        <v>2024644</v>
      </c>
      <c r="M128" s="9">
        <v>2150418</v>
      </c>
      <c r="N128" s="9"/>
    </row>
    <row r="129" spans="1:14" x14ac:dyDescent="0.45">
      <c r="A129" t="s">
        <v>18</v>
      </c>
      <c r="B129">
        <v>2017</v>
      </c>
      <c r="C129" s="1">
        <v>43893</v>
      </c>
      <c r="D129" t="s">
        <v>25</v>
      </c>
      <c r="E129">
        <v>500537</v>
      </c>
      <c r="F129">
        <v>5037634</v>
      </c>
      <c r="G129">
        <v>9.94</v>
      </c>
      <c r="J129" s="4" t="s">
        <v>14</v>
      </c>
      <c r="K129" s="9">
        <v>443803</v>
      </c>
      <c r="L129" s="9">
        <v>425212</v>
      </c>
      <c r="M129" s="9">
        <v>357276</v>
      </c>
      <c r="N129" s="9"/>
    </row>
    <row r="130" spans="1:14" x14ac:dyDescent="0.45">
      <c r="A130" t="s">
        <v>19</v>
      </c>
      <c r="B130">
        <v>2017</v>
      </c>
      <c r="C130" s="1">
        <v>43893</v>
      </c>
      <c r="D130" t="s">
        <v>25</v>
      </c>
      <c r="E130">
        <v>71916</v>
      </c>
      <c r="F130">
        <v>613251</v>
      </c>
      <c r="G130">
        <v>11.73</v>
      </c>
      <c r="J130" s="4" t="s">
        <v>15</v>
      </c>
      <c r="K130" s="9">
        <v>702220</v>
      </c>
      <c r="L130" s="9">
        <v>687226</v>
      </c>
      <c r="M130" s="9">
        <v>759849</v>
      </c>
      <c r="N130" s="9"/>
    </row>
    <row r="131" spans="1:14" x14ac:dyDescent="0.45">
      <c r="A131" t="s">
        <v>24</v>
      </c>
      <c r="B131">
        <v>2017</v>
      </c>
      <c r="C131" s="1">
        <v>43893</v>
      </c>
      <c r="D131" t="s">
        <v>25</v>
      </c>
      <c r="E131">
        <v>315050</v>
      </c>
      <c r="F131">
        <v>3468412</v>
      </c>
      <c r="G131">
        <v>9.08</v>
      </c>
      <c r="J131" s="4" t="s">
        <v>16</v>
      </c>
      <c r="K131" s="9">
        <v>347431</v>
      </c>
      <c r="L131" s="9">
        <v>391096</v>
      </c>
      <c r="M131" s="9">
        <v>414057</v>
      </c>
      <c r="N131" s="9"/>
    </row>
    <row r="132" spans="1:14" x14ac:dyDescent="0.45">
      <c r="A132" t="s">
        <v>20</v>
      </c>
      <c r="B132">
        <v>2017</v>
      </c>
      <c r="C132" s="1">
        <v>43893</v>
      </c>
      <c r="D132" t="s">
        <v>25</v>
      </c>
      <c r="E132">
        <v>1927873</v>
      </c>
      <c r="F132">
        <v>22572383</v>
      </c>
      <c r="G132">
        <v>8.5399999999999991</v>
      </c>
      <c r="J132" s="4" t="s">
        <v>17</v>
      </c>
      <c r="K132" s="9">
        <v>1068530</v>
      </c>
      <c r="L132" s="9">
        <v>1118873</v>
      </c>
      <c r="M132" s="9">
        <v>1228017</v>
      </c>
      <c r="N132" s="9"/>
    </row>
    <row r="133" spans="1:14" x14ac:dyDescent="0.45">
      <c r="A133" t="s">
        <v>21</v>
      </c>
      <c r="B133">
        <v>2017</v>
      </c>
      <c r="C133" s="1">
        <v>43893</v>
      </c>
      <c r="D133" t="s">
        <v>25</v>
      </c>
      <c r="E133">
        <v>552583</v>
      </c>
      <c r="F133">
        <v>7015247</v>
      </c>
      <c r="G133">
        <v>7.88</v>
      </c>
      <c r="J133" s="4" t="s">
        <v>18</v>
      </c>
      <c r="K133" s="9">
        <v>990237</v>
      </c>
      <c r="L133" s="9">
        <v>1040856</v>
      </c>
      <c r="M133" s="9">
        <v>1071570</v>
      </c>
      <c r="N133" s="9"/>
    </row>
    <row r="134" spans="1:14" x14ac:dyDescent="0.45">
      <c r="A134" t="s">
        <v>7</v>
      </c>
      <c r="B134">
        <v>2017</v>
      </c>
      <c r="C134" s="1">
        <v>43925</v>
      </c>
      <c r="D134" t="s">
        <v>8</v>
      </c>
      <c r="E134">
        <v>54136</v>
      </c>
      <c r="F134">
        <v>593378</v>
      </c>
      <c r="G134">
        <v>9.1199999999999992</v>
      </c>
      <c r="J134" s="4" t="s">
        <v>19</v>
      </c>
      <c r="K134" s="9">
        <v>161188</v>
      </c>
      <c r="L134" s="9">
        <v>167765</v>
      </c>
      <c r="M134" s="9">
        <v>179812</v>
      </c>
      <c r="N134" s="9"/>
    </row>
    <row r="135" spans="1:14" x14ac:dyDescent="0.45">
      <c r="A135" t="s">
        <v>9</v>
      </c>
      <c r="B135">
        <v>2017</v>
      </c>
      <c r="C135" s="1">
        <v>43925</v>
      </c>
      <c r="D135" t="s">
        <v>8</v>
      </c>
      <c r="E135">
        <v>134302</v>
      </c>
      <c r="F135">
        <v>2455022</v>
      </c>
      <c r="G135">
        <v>5.47</v>
      </c>
      <c r="J135" s="4" t="s">
        <v>24</v>
      </c>
      <c r="K135" s="9">
        <v>631614</v>
      </c>
      <c r="L135" s="9">
        <v>664903</v>
      </c>
      <c r="M135" s="9">
        <v>597207</v>
      </c>
      <c r="N135" s="9"/>
    </row>
    <row r="136" spans="1:14" x14ac:dyDescent="0.45">
      <c r="A136" t="s">
        <v>10</v>
      </c>
      <c r="B136">
        <v>2017</v>
      </c>
      <c r="C136" s="1">
        <v>43925</v>
      </c>
      <c r="D136" t="s">
        <v>8</v>
      </c>
      <c r="E136">
        <v>388608</v>
      </c>
      <c r="F136">
        <v>4634346</v>
      </c>
      <c r="G136">
        <v>8.39</v>
      </c>
      <c r="J136" s="4" t="s">
        <v>20</v>
      </c>
      <c r="K136" s="9">
        <v>4748608</v>
      </c>
      <c r="L136" s="9">
        <v>4536630</v>
      </c>
      <c r="M136" s="9">
        <v>4418529</v>
      </c>
      <c r="N136" s="9"/>
    </row>
    <row r="137" spans="1:14" x14ac:dyDescent="0.45">
      <c r="A137" t="s">
        <v>11</v>
      </c>
      <c r="B137">
        <v>2017</v>
      </c>
      <c r="C137" s="1">
        <v>43925</v>
      </c>
      <c r="D137" t="s">
        <v>8</v>
      </c>
      <c r="E137">
        <v>218000</v>
      </c>
      <c r="F137">
        <v>3015481</v>
      </c>
      <c r="G137">
        <v>7.23</v>
      </c>
      <c r="J137" s="4" t="s">
        <v>21</v>
      </c>
      <c r="K137" s="9">
        <v>1219035</v>
      </c>
      <c r="L137" s="9">
        <v>1271599</v>
      </c>
      <c r="M137" s="9">
        <v>1341577</v>
      </c>
      <c r="N137" s="9"/>
    </row>
    <row r="138" spans="1:14" x14ac:dyDescent="0.45">
      <c r="A138" t="s">
        <v>12</v>
      </c>
      <c r="B138">
        <v>2017</v>
      </c>
      <c r="C138" s="1">
        <v>43925</v>
      </c>
      <c r="D138" t="s">
        <v>8</v>
      </c>
      <c r="E138">
        <v>1323471</v>
      </c>
      <c r="F138">
        <v>17722275</v>
      </c>
      <c r="G138">
        <v>7.47</v>
      </c>
      <c r="J138" s="4" t="s">
        <v>22</v>
      </c>
      <c r="K138" s="9">
        <v>807671</v>
      </c>
      <c r="L138" s="9">
        <v>665464</v>
      </c>
      <c r="M138" s="9">
        <v>812258</v>
      </c>
      <c r="N138" s="9"/>
    </row>
    <row r="139" spans="1:14" x14ac:dyDescent="0.45">
      <c r="A139" t="s">
        <v>13</v>
      </c>
      <c r="B139">
        <v>2017</v>
      </c>
      <c r="C139" s="1">
        <v>43925</v>
      </c>
      <c r="D139" t="s">
        <v>8</v>
      </c>
      <c r="E139">
        <v>610879</v>
      </c>
      <c r="F139">
        <v>10556100</v>
      </c>
      <c r="G139">
        <v>5.79</v>
      </c>
      <c r="J139" s="3" t="s">
        <v>35</v>
      </c>
      <c r="K139" s="9">
        <v>19179540</v>
      </c>
      <c r="L139" s="9">
        <v>19921745</v>
      </c>
      <c r="M139" s="9">
        <v>19773711</v>
      </c>
      <c r="N139" s="9"/>
    </row>
    <row r="140" spans="1:14" x14ac:dyDescent="0.45">
      <c r="A140" t="s">
        <v>14</v>
      </c>
      <c r="B140">
        <v>2017</v>
      </c>
      <c r="C140" s="1">
        <v>43925</v>
      </c>
      <c r="D140" t="s">
        <v>8</v>
      </c>
      <c r="E140">
        <v>162154</v>
      </c>
      <c r="F140">
        <v>2356231</v>
      </c>
      <c r="G140">
        <v>6.88</v>
      </c>
      <c r="J140" s="4" t="s">
        <v>7</v>
      </c>
      <c r="K140" s="9">
        <v>178722</v>
      </c>
      <c r="L140" s="9">
        <v>177675</v>
      </c>
      <c r="M140" s="9">
        <v>171840</v>
      </c>
      <c r="N140" s="9"/>
    </row>
    <row r="141" spans="1:14" x14ac:dyDescent="0.45">
      <c r="A141" t="s">
        <v>15</v>
      </c>
      <c r="B141">
        <v>2017</v>
      </c>
      <c r="C141" s="1">
        <v>43925</v>
      </c>
      <c r="D141" t="s">
        <v>8</v>
      </c>
      <c r="E141">
        <v>259637</v>
      </c>
      <c r="F141">
        <v>3670568</v>
      </c>
      <c r="G141">
        <v>7.07</v>
      </c>
      <c r="J141" s="4" t="s">
        <v>9</v>
      </c>
      <c r="K141" s="9">
        <v>357429</v>
      </c>
      <c r="L141" s="9">
        <v>366744</v>
      </c>
      <c r="M141" s="9">
        <v>361600</v>
      </c>
      <c r="N141" s="9"/>
    </row>
    <row r="142" spans="1:14" x14ac:dyDescent="0.45">
      <c r="A142" t="s">
        <v>16</v>
      </c>
      <c r="B142">
        <v>2017</v>
      </c>
      <c r="C142" s="1">
        <v>43925</v>
      </c>
      <c r="D142" t="s">
        <v>8</v>
      </c>
      <c r="E142">
        <v>299964</v>
      </c>
      <c r="F142">
        <v>3807282</v>
      </c>
      <c r="G142">
        <v>7.88</v>
      </c>
      <c r="J142" s="4" t="s">
        <v>10</v>
      </c>
      <c r="K142" s="9">
        <v>1251015</v>
      </c>
      <c r="L142" s="9">
        <v>1313939</v>
      </c>
      <c r="M142" s="9">
        <v>1282256</v>
      </c>
      <c r="N142" s="9"/>
    </row>
    <row r="143" spans="1:14" x14ac:dyDescent="0.45">
      <c r="A143" t="s">
        <v>17</v>
      </c>
      <c r="B143">
        <v>2017</v>
      </c>
      <c r="C143" s="1">
        <v>43925</v>
      </c>
      <c r="D143" t="s">
        <v>8</v>
      </c>
      <c r="E143">
        <v>414389</v>
      </c>
      <c r="F143">
        <v>5815595</v>
      </c>
      <c r="G143">
        <v>7.13</v>
      </c>
      <c r="J143" s="4" t="s">
        <v>11</v>
      </c>
      <c r="K143" s="9">
        <v>614817</v>
      </c>
      <c r="L143" s="9">
        <v>615078</v>
      </c>
      <c r="M143" s="9">
        <v>610544</v>
      </c>
      <c r="N143" s="9"/>
    </row>
    <row r="144" spans="1:14" x14ac:dyDescent="0.45">
      <c r="A144" t="s">
        <v>18</v>
      </c>
      <c r="B144">
        <v>2017</v>
      </c>
      <c r="C144" s="1">
        <v>43925</v>
      </c>
      <c r="D144" t="s">
        <v>8</v>
      </c>
      <c r="E144">
        <v>402845</v>
      </c>
      <c r="F144">
        <v>5037634</v>
      </c>
      <c r="G144">
        <v>8</v>
      </c>
      <c r="J144" s="4" t="s">
        <v>12</v>
      </c>
      <c r="K144" s="9">
        <v>3862204</v>
      </c>
      <c r="L144" s="9">
        <v>3858541</v>
      </c>
      <c r="M144" s="9">
        <v>3827161</v>
      </c>
      <c r="N144" s="9"/>
    </row>
    <row r="145" spans="1:14" x14ac:dyDescent="0.45">
      <c r="A145" t="s">
        <v>19</v>
      </c>
      <c r="B145">
        <v>2017</v>
      </c>
      <c r="C145" s="1">
        <v>43925</v>
      </c>
      <c r="D145" t="s">
        <v>8</v>
      </c>
      <c r="E145">
        <v>55319</v>
      </c>
      <c r="F145">
        <v>613251</v>
      </c>
      <c r="G145">
        <v>9.02</v>
      </c>
      <c r="J145" s="4" t="s">
        <v>13</v>
      </c>
      <c r="K145" s="9">
        <v>2390076</v>
      </c>
      <c r="L145" s="9">
        <v>2394457</v>
      </c>
      <c r="M145" s="9">
        <v>2290491</v>
      </c>
      <c r="N145" s="9"/>
    </row>
    <row r="146" spans="1:14" x14ac:dyDescent="0.45">
      <c r="A146" t="s">
        <v>20</v>
      </c>
      <c r="B146">
        <v>2017</v>
      </c>
      <c r="C146" s="1">
        <v>43925</v>
      </c>
      <c r="D146" t="s">
        <v>8</v>
      </c>
      <c r="E146">
        <v>1278104</v>
      </c>
      <c r="F146">
        <v>22572383</v>
      </c>
      <c r="G146">
        <v>5.66</v>
      </c>
      <c r="J146" s="4" t="s">
        <v>14</v>
      </c>
      <c r="K146" s="9">
        <v>333076</v>
      </c>
      <c r="L146" s="9">
        <v>365620</v>
      </c>
      <c r="M146" s="9">
        <v>363508</v>
      </c>
      <c r="N146" s="9"/>
    </row>
    <row r="147" spans="1:14" x14ac:dyDescent="0.45">
      <c r="A147" t="s">
        <v>21</v>
      </c>
      <c r="B147">
        <v>2017</v>
      </c>
      <c r="C147" s="1">
        <v>43925</v>
      </c>
      <c r="D147" t="s">
        <v>8</v>
      </c>
      <c r="E147">
        <v>369694</v>
      </c>
      <c r="F147">
        <v>7015247</v>
      </c>
      <c r="G147">
        <v>5.27</v>
      </c>
      <c r="J147" s="4" t="s">
        <v>15</v>
      </c>
      <c r="K147" s="9">
        <v>561146</v>
      </c>
      <c r="L147" s="9">
        <v>583191</v>
      </c>
      <c r="M147" s="9">
        <v>617939</v>
      </c>
      <c r="N147" s="9"/>
    </row>
    <row r="148" spans="1:14" x14ac:dyDescent="0.45">
      <c r="A148" t="s">
        <v>22</v>
      </c>
      <c r="B148">
        <v>2017</v>
      </c>
      <c r="C148" s="1">
        <v>43925</v>
      </c>
      <c r="D148" t="s">
        <v>8</v>
      </c>
      <c r="E148">
        <v>574748</v>
      </c>
      <c r="F148">
        <v>4805415</v>
      </c>
      <c r="G148">
        <v>11.96</v>
      </c>
      <c r="J148" s="4" t="s">
        <v>16</v>
      </c>
      <c r="K148" s="9">
        <v>414354</v>
      </c>
      <c r="L148" s="9">
        <v>427081</v>
      </c>
      <c r="M148" s="9">
        <v>426953</v>
      </c>
      <c r="N148" s="9"/>
    </row>
    <row r="149" spans="1:14" x14ac:dyDescent="0.45">
      <c r="A149" t="s">
        <v>7</v>
      </c>
      <c r="B149">
        <v>2017</v>
      </c>
      <c r="C149" s="1">
        <v>43925</v>
      </c>
      <c r="D149" t="s">
        <v>23</v>
      </c>
      <c r="E149">
        <v>21468</v>
      </c>
      <c r="F149">
        <v>593378</v>
      </c>
      <c r="G149">
        <v>3.62</v>
      </c>
      <c r="J149" s="4" t="s">
        <v>17</v>
      </c>
      <c r="K149" s="9">
        <v>1301849</v>
      </c>
      <c r="L149" s="9">
        <v>1321580</v>
      </c>
      <c r="M149" s="9">
        <v>1343683</v>
      </c>
      <c r="N149" s="9"/>
    </row>
    <row r="150" spans="1:14" x14ac:dyDescent="0.45">
      <c r="A150" t="s">
        <v>9</v>
      </c>
      <c r="B150">
        <v>2017</v>
      </c>
      <c r="C150" s="1">
        <v>43925</v>
      </c>
      <c r="D150" t="s">
        <v>23</v>
      </c>
      <c r="E150">
        <v>47630</v>
      </c>
      <c r="F150">
        <v>2455022</v>
      </c>
      <c r="G150">
        <v>1.94</v>
      </c>
      <c r="J150" s="4" t="s">
        <v>18</v>
      </c>
      <c r="K150" s="9">
        <v>1123239</v>
      </c>
      <c r="L150" s="9">
        <v>1194129</v>
      </c>
      <c r="M150" s="9">
        <v>1076395</v>
      </c>
      <c r="N150" s="9"/>
    </row>
    <row r="151" spans="1:14" x14ac:dyDescent="0.45">
      <c r="A151" t="s">
        <v>10</v>
      </c>
      <c r="B151">
        <v>2017</v>
      </c>
      <c r="C151" s="1">
        <v>43925</v>
      </c>
      <c r="D151" t="s">
        <v>23</v>
      </c>
      <c r="E151">
        <v>177513</v>
      </c>
      <c r="F151">
        <v>4634346</v>
      </c>
      <c r="G151">
        <v>3.83</v>
      </c>
      <c r="J151" s="4" t="s">
        <v>19</v>
      </c>
      <c r="K151" s="9">
        <v>171917</v>
      </c>
      <c r="L151" s="9">
        <v>165171</v>
      </c>
      <c r="M151" s="9">
        <v>168082</v>
      </c>
      <c r="N151" s="9"/>
    </row>
    <row r="152" spans="1:14" x14ac:dyDescent="0.45">
      <c r="A152" t="s">
        <v>11</v>
      </c>
      <c r="B152">
        <v>2017</v>
      </c>
      <c r="C152" s="1">
        <v>43925</v>
      </c>
      <c r="D152" t="s">
        <v>23</v>
      </c>
      <c r="E152">
        <v>138120</v>
      </c>
      <c r="F152">
        <v>3015481</v>
      </c>
      <c r="G152">
        <v>4.58</v>
      </c>
      <c r="J152" s="4" t="s">
        <v>24</v>
      </c>
      <c r="K152" s="9">
        <v>566644</v>
      </c>
      <c r="L152" s="9">
        <v>599618</v>
      </c>
      <c r="M152" s="9">
        <v>520896</v>
      </c>
      <c r="N152" s="9"/>
    </row>
    <row r="153" spans="1:14" x14ac:dyDescent="0.45">
      <c r="A153" t="s">
        <v>12</v>
      </c>
      <c r="B153">
        <v>2017</v>
      </c>
      <c r="C153" s="1">
        <v>43925</v>
      </c>
      <c r="D153" t="s">
        <v>23</v>
      </c>
      <c r="E153">
        <v>769871</v>
      </c>
      <c r="F153">
        <v>17722275</v>
      </c>
      <c r="G153">
        <v>4.34</v>
      </c>
      <c r="J153" s="4" t="s">
        <v>20</v>
      </c>
      <c r="K153" s="9">
        <v>4180586</v>
      </c>
      <c r="L153" s="9">
        <v>4440306</v>
      </c>
      <c r="M153" s="9">
        <v>4698199</v>
      </c>
      <c r="N153" s="9"/>
    </row>
    <row r="154" spans="1:14" x14ac:dyDescent="0.45">
      <c r="A154" t="s">
        <v>13</v>
      </c>
      <c r="B154">
        <v>2017</v>
      </c>
      <c r="C154" s="1">
        <v>43925</v>
      </c>
      <c r="D154" t="s">
        <v>23</v>
      </c>
      <c r="E154">
        <v>348096</v>
      </c>
      <c r="F154">
        <v>10556100</v>
      </c>
      <c r="G154">
        <v>3.3</v>
      </c>
      <c r="J154" s="4" t="s">
        <v>21</v>
      </c>
      <c r="K154" s="9">
        <v>1343485</v>
      </c>
      <c r="L154" s="9">
        <v>1381560</v>
      </c>
      <c r="M154" s="9">
        <v>1370122</v>
      </c>
      <c r="N154" s="9"/>
    </row>
    <row r="155" spans="1:14" x14ac:dyDescent="0.45">
      <c r="A155" t="s">
        <v>15</v>
      </c>
      <c r="B155">
        <v>2017</v>
      </c>
      <c r="C155" s="1">
        <v>43925</v>
      </c>
      <c r="D155" t="s">
        <v>23</v>
      </c>
      <c r="E155">
        <v>67491</v>
      </c>
      <c r="F155">
        <v>3670568</v>
      </c>
      <c r="G155">
        <v>1.84</v>
      </c>
      <c r="J155" s="4" t="s">
        <v>22</v>
      </c>
      <c r="K155" s="9">
        <v>528981</v>
      </c>
      <c r="L155" s="9">
        <v>717055</v>
      </c>
      <c r="M155" s="9">
        <v>644042</v>
      </c>
      <c r="N155" s="9"/>
    </row>
    <row r="156" spans="1:14" x14ac:dyDescent="0.45">
      <c r="A156" t="s">
        <v>16</v>
      </c>
      <c r="B156">
        <v>2017</v>
      </c>
      <c r="C156" s="1">
        <v>43925</v>
      </c>
      <c r="D156" t="s">
        <v>23</v>
      </c>
      <c r="E156">
        <v>98460</v>
      </c>
      <c r="F156">
        <v>3807282</v>
      </c>
      <c r="G156">
        <v>2.59</v>
      </c>
      <c r="J156" s="3" t="s">
        <v>36</v>
      </c>
      <c r="K156" s="9">
        <v>18131004</v>
      </c>
      <c r="L156" s="9">
        <v>18218573</v>
      </c>
      <c r="M156" s="9">
        <v>18174543</v>
      </c>
      <c r="N156" s="9"/>
    </row>
    <row r="157" spans="1:14" x14ac:dyDescent="0.45">
      <c r="A157" t="s">
        <v>17</v>
      </c>
      <c r="B157">
        <v>2017</v>
      </c>
      <c r="C157" s="1">
        <v>43925</v>
      </c>
      <c r="D157" t="s">
        <v>23</v>
      </c>
      <c r="E157">
        <v>300088</v>
      </c>
      <c r="F157">
        <v>5815595</v>
      </c>
      <c r="G157">
        <v>5.16</v>
      </c>
      <c r="J157" s="4" t="s">
        <v>7</v>
      </c>
      <c r="K157" s="9">
        <v>133646</v>
      </c>
      <c r="L157" s="9">
        <v>129225</v>
      </c>
      <c r="M157" s="9">
        <v>130672</v>
      </c>
      <c r="N157" s="9"/>
    </row>
    <row r="158" spans="1:14" x14ac:dyDescent="0.45">
      <c r="A158" t="s">
        <v>18</v>
      </c>
      <c r="B158">
        <v>2017</v>
      </c>
      <c r="C158" s="1">
        <v>43925</v>
      </c>
      <c r="D158" t="s">
        <v>23</v>
      </c>
      <c r="E158">
        <v>137780</v>
      </c>
      <c r="F158">
        <v>5037634</v>
      </c>
      <c r="G158">
        <v>2.74</v>
      </c>
      <c r="J158" s="4" t="s">
        <v>9</v>
      </c>
      <c r="K158" s="9">
        <v>413065</v>
      </c>
      <c r="L158" s="9">
        <v>402244</v>
      </c>
      <c r="M158" s="9">
        <v>367678</v>
      </c>
      <c r="N158" s="9"/>
    </row>
    <row r="159" spans="1:14" x14ac:dyDescent="0.45">
      <c r="A159" t="s">
        <v>19</v>
      </c>
      <c r="B159">
        <v>2017</v>
      </c>
      <c r="C159" s="1">
        <v>43925</v>
      </c>
      <c r="D159" t="s">
        <v>23</v>
      </c>
      <c r="E159">
        <v>20683</v>
      </c>
      <c r="F159">
        <v>613251</v>
      </c>
      <c r="G159">
        <v>3.37</v>
      </c>
      <c r="J159" s="4" t="s">
        <v>10</v>
      </c>
      <c r="K159" s="9">
        <v>1057085</v>
      </c>
      <c r="L159" s="9">
        <v>1050771</v>
      </c>
      <c r="M159" s="9">
        <v>1101798</v>
      </c>
      <c r="N159" s="9"/>
    </row>
    <row r="160" spans="1:14" x14ac:dyDescent="0.45">
      <c r="A160" t="s">
        <v>24</v>
      </c>
      <c r="B160">
        <v>2017</v>
      </c>
      <c r="C160" s="1">
        <v>43925</v>
      </c>
      <c r="D160" t="s">
        <v>23</v>
      </c>
      <c r="E160">
        <v>188184</v>
      </c>
      <c r="F160">
        <v>3468412</v>
      </c>
      <c r="G160">
        <v>5.43</v>
      </c>
      <c r="J160" s="4" t="s">
        <v>11</v>
      </c>
      <c r="K160" s="9">
        <v>572172</v>
      </c>
      <c r="L160" s="9">
        <v>542815</v>
      </c>
      <c r="M160" s="9">
        <v>567562</v>
      </c>
      <c r="N160" s="9"/>
    </row>
    <row r="161" spans="1:14" x14ac:dyDescent="0.45">
      <c r="A161" t="s">
        <v>20</v>
      </c>
      <c r="B161">
        <v>2017</v>
      </c>
      <c r="C161" s="1">
        <v>43925</v>
      </c>
      <c r="D161" t="s">
        <v>23</v>
      </c>
      <c r="E161">
        <v>642837</v>
      </c>
      <c r="F161">
        <v>22572383</v>
      </c>
      <c r="G161">
        <v>2.85</v>
      </c>
      <c r="J161" s="4" t="s">
        <v>12</v>
      </c>
      <c r="K161" s="9">
        <v>3185480</v>
      </c>
      <c r="L161" s="9">
        <v>3181076</v>
      </c>
      <c r="M161" s="9">
        <v>3316430</v>
      </c>
      <c r="N161" s="9"/>
    </row>
    <row r="162" spans="1:14" x14ac:dyDescent="0.45">
      <c r="A162" t="s">
        <v>21</v>
      </c>
      <c r="B162">
        <v>2017</v>
      </c>
      <c r="C162" s="1">
        <v>43925</v>
      </c>
      <c r="D162" t="s">
        <v>23</v>
      </c>
      <c r="E162">
        <v>264406</v>
      </c>
      <c r="F162">
        <v>7015247</v>
      </c>
      <c r="G162">
        <v>3.77</v>
      </c>
      <c r="J162" s="4" t="s">
        <v>13</v>
      </c>
      <c r="K162" s="9">
        <v>1977308</v>
      </c>
      <c r="L162" s="9">
        <v>1865473</v>
      </c>
      <c r="M162" s="9">
        <v>1973371</v>
      </c>
      <c r="N162" s="9"/>
    </row>
    <row r="163" spans="1:14" x14ac:dyDescent="0.45">
      <c r="A163" t="s">
        <v>22</v>
      </c>
      <c r="B163">
        <v>2017</v>
      </c>
      <c r="C163" s="1">
        <v>43925</v>
      </c>
      <c r="D163" t="s">
        <v>23</v>
      </c>
      <c r="E163">
        <v>168916</v>
      </c>
      <c r="F163">
        <v>4805415</v>
      </c>
      <c r="G163">
        <v>3.52</v>
      </c>
      <c r="J163" s="4" t="s">
        <v>14</v>
      </c>
      <c r="K163" s="9">
        <v>404110</v>
      </c>
      <c r="L163" s="9">
        <v>393080</v>
      </c>
      <c r="M163" s="9">
        <v>398477</v>
      </c>
      <c r="N163" s="9"/>
    </row>
    <row r="164" spans="1:14" x14ac:dyDescent="0.45">
      <c r="A164" t="s">
        <v>7</v>
      </c>
      <c r="B164">
        <v>2017</v>
      </c>
      <c r="C164" s="1">
        <v>43925</v>
      </c>
      <c r="D164" t="s">
        <v>25</v>
      </c>
      <c r="E164">
        <v>48108</v>
      </c>
      <c r="F164">
        <v>593378</v>
      </c>
      <c r="G164">
        <v>8.11</v>
      </c>
      <c r="J164" s="4" t="s">
        <v>15</v>
      </c>
      <c r="K164" s="9">
        <v>680169</v>
      </c>
      <c r="L164" s="9">
        <v>686601</v>
      </c>
      <c r="M164" s="9">
        <v>402699</v>
      </c>
      <c r="N164" s="9"/>
    </row>
    <row r="165" spans="1:14" x14ac:dyDescent="0.45">
      <c r="A165" t="s">
        <v>9</v>
      </c>
      <c r="B165">
        <v>2017</v>
      </c>
      <c r="C165" s="1">
        <v>43925</v>
      </c>
      <c r="D165" t="s">
        <v>25</v>
      </c>
      <c r="E165">
        <v>184745</v>
      </c>
      <c r="F165">
        <v>2455022</v>
      </c>
      <c r="G165">
        <v>7.53</v>
      </c>
      <c r="J165" s="4" t="s">
        <v>16</v>
      </c>
      <c r="K165" s="9">
        <v>377743</v>
      </c>
      <c r="L165" s="9">
        <v>352104</v>
      </c>
      <c r="M165" s="9">
        <v>380803</v>
      </c>
      <c r="N165" s="9"/>
    </row>
    <row r="166" spans="1:14" x14ac:dyDescent="0.45">
      <c r="A166" t="s">
        <v>10</v>
      </c>
      <c r="B166">
        <v>2017</v>
      </c>
      <c r="C166" s="1">
        <v>43925</v>
      </c>
      <c r="D166" t="s">
        <v>25</v>
      </c>
      <c r="E166">
        <v>402741</v>
      </c>
      <c r="F166">
        <v>4634346</v>
      </c>
      <c r="G166">
        <v>8.69</v>
      </c>
      <c r="J166" s="4" t="s">
        <v>17</v>
      </c>
      <c r="K166" s="9">
        <v>1260328</v>
      </c>
      <c r="L166" s="9">
        <v>1222915</v>
      </c>
      <c r="M166" s="9">
        <v>1154078</v>
      </c>
      <c r="N166" s="9"/>
    </row>
    <row r="167" spans="1:14" x14ac:dyDescent="0.45">
      <c r="A167" t="s">
        <v>11</v>
      </c>
      <c r="B167">
        <v>2017</v>
      </c>
      <c r="C167" s="1">
        <v>43925</v>
      </c>
      <c r="D167" t="s">
        <v>25</v>
      </c>
      <c r="E167">
        <v>194802</v>
      </c>
      <c r="F167">
        <v>3015481</v>
      </c>
      <c r="G167">
        <v>6.46</v>
      </c>
      <c r="J167" s="4" t="s">
        <v>18</v>
      </c>
      <c r="K167" s="9">
        <v>1138254</v>
      </c>
      <c r="L167" s="9">
        <v>1059379</v>
      </c>
      <c r="M167" s="9">
        <v>1103975</v>
      </c>
      <c r="N167" s="9"/>
    </row>
    <row r="168" spans="1:14" x14ac:dyDescent="0.45">
      <c r="A168" t="s">
        <v>12</v>
      </c>
      <c r="B168">
        <v>2017</v>
      </c>
      <c r="C168" s="1">
        <v>43925</v>
      </c>
      <c r="D168" t="s">
        <v>25</v>
      </c>
      <c r="E168">
        <v>1612246</v>
      </c>
      <c r="F168">
        <v>17722275</v>
      </c>
      <c r="G168">
        <v>9.1</v>
      </c>
      <c r="J168" s="4" t="s">
        <v>19</v>
      </c>
      <c r="K168" s="9">
        <v>143375</v>
      </c>
      <c r="L168" s="9">
        <v>142467</v>
      </c>
      <c r="M168" s="9">
        <v>157377</v>
      </c>
      <c r="N168" s="9"/>
    </row>
    <row r="169" spans="1:14" x14ac:dyDescent="0.45">
      <c r="A169" t="s">
        <v>13</v>
      </c>
      <c r="B169">
        <v>2017</v>
      </c>
      <c r="C169" s="1">
        <v>43925</v>
      </c>
      <c r="D169" t="s">
        <v>25</v>
      </c>
      <c r="E169">
        <v>914762</v>
      </c>
      <c r="F169">
        <v>10556100</v>
      </c>
      <c r="G169">
        <v>8.67</v>
      </c>
      <c r="J169" s="4" t="s">
        <v>24</v>
      </c>
      <c r="K169" s="9">
        <v>633858</v>
      </c>
      <c r="L169" s="9">
        <v>634178</v>
      </c>
      <c r="M169" s="9">
        <v>613136</v>
      </c>
      <c r="N169" s="9"/>
    </row>
    <row r="170" spans="1:14" x14ac:dyDescent="0.45">
      <c r="A170" t="s">
        <v>14</v>
      </c>
      <c r="B170">
        <v>2017</v>
      </c>
      <c r="C170" s="1">
        <v>43925</v>
      </c>
      <c r="D170" t="s">
        <v>25</v>
      </c>
      <c r="E170">
        <v>216671</v>
      </c>
      <c r="F170">
        <v>2356231</v>
      </c>
      <c r="G170">
        <v>9.1999999999999993</v>
      </c>
      <c r="J170" s="4" t="s">
        <v>20</v>
      </c>
      <c r="K170" s="9">
        <v>4272472</v>
      </c>
      <c r="L170" s="9">
        <v>4609207</v>
      </c>
      <c r="M170" s="9">
        <v>4653839</v>
      </c>
      <c r="N170" s="9"/>
    </row>
    <row r="171" spans="1:14" x14ac:dyDescent="0.45">
      <c r="A171" t="s">
        <v>15</v>
      </c>
      <c r="B171">
        <v>2017</v>
      </c>
      <c r="C171" s="1">
        <v>43925</v>
      </c>
      <c r="D171" t="s">
        <v>25</v>
      </c>
      <c r="E171">
        <v>301052</v>
      </c>
      <c r="F171">
        <v>3670568</v>
      </c>
      <c r="G171">
        <v>8.1999999999999993</v>
      </c>
      <c r="J171" s="4" t="s">
        <v>21</v>
      </c>
      <c r="K171" s="9">
        <v>1216836</v>
      </c>
      <c r="L171" s="9">
        <v>1224335</v>
      </c>
      <c r="M171" s="9">
        <v>1207179</v>
      </c>
      <c r="N171" s="9"/>
    </row>
    <row r="172" spans="1:14" x14ac:dyDescent="0.45">
      <c r="A172" t="s">
        <v>17</v>
      </c>
      <c r="B172">
        <v>2017</v>
      </c>
      <c r="C172" s="1">
        <v>43925</v>
      </c>
      <c r="D172" t="s">
        <v>25</v>
      </c>
      <c r="E172">
        <v>458262</v>
      </c>
      <c r="F172">
        <v>5815595</v>
      </c>
      <c r="G172">
        <v>7.88</v>
      </c>
      <c r="J172" s="4" t="s">
        <v>22</v>
      </c>
      <c r="K172" s="9">
        <v>665103</v>
      </c>
      <c r="L172" s="9">
        <v>722703</v>
      </c>
      <c r="M172" s="9">
        <v>645469</v>
      </c>
      <c r="N172" s="9"/>
    </row>
    <row r="173" spans="1:14" x14ac:dyDescent="0.45">
      <c r="A173" t="s">
        <v>18</v>
      </c>
      <c r="B173">
        <v>2017</v>
      </c>
      <c r="C173" s="1">
        <v>43925</v>
      </c>
      <c r="D173" t="s">
        <v>25</v>
      </c>
      <c r="E173">
        <v>490645</v>
      </c>
      <c r="F173">
        <v>5037634</v>
      </c>
      <c r="G173">
        <v>9.74</v>
      </c>
      <c r="J173" s="3" t="s">
        <v>37</v>
      </c>
      <c r="K173" s="9">
        <v>18878927</v>
      </c>
      <c r="L173" s="9">
        <v>18735483</v>
      </c>
      <c r="M173" s="9">
        <v>19906865</v>
      </c>
      <c r="N173" s="9"/>
    </row>
    <row r="174" spans="1:14" x14ac:dyDescent="0.45">
      <c r="A174" t="s">
        <v>19</v>
      </c>
      <c r="B174">
        <v>2017</v>
      </c>
      <c r="C174" s="1">
        <v>43925</v>
      </c>
      <c r="D174" t="s">
        <v>25</v>
      </c>
      <c r="E174">
        <v>87042</v>
      </c>
      <c r="F174">
        <v>613251</v>
      </c>
      <c r="G174">
        <v>14.19</v>
      </c>
      <c r="J174" s="4" t="s">
        <v>7</v>
      </c>
      <c r="K174" s="9">
        <v>123918</v>
      </c>
      <c r="L174" s="9">
        <v>137733</v>
      </c>
      <c r="M174" s="9">
        <v>134581</v>
      </c>
      <c r="N174" s="9"/>
    </row>
    <row r="175" spans="1:14" x14ac:dyDescent="0.45">
      <c r="A175" t="s">
        <v>24</v>
      </c>
      <c r="B175">
        <v>2017</v>
      </c>
      <c r="C175" s="1">
        <v>43925</v>
      </c>
      <c r="D175" t="s">
        <v>25</v>
      </c>
      <c r="E175">
        <v>402710</v>
      </c>
      <c r="F175">
        <v>3468412</v>
      </c>
      <c r="G175">
        <v>11.61</v>
      </c>
      <c r="J175" s="4" t="s">
        <v>9</v>
      </c>
      <c r="K175" s="9">
        <v>359600</v>
      </c>
      <c r="L175" s="9">
        <v>348636</v>
      </c>
      <c r="M175" s="9">
        <v>388953</v>
      </c>
      <c r="N175" s="9"/>
    </row>
    <row r="176" spans="1:14" x14ac:dyDescent="0.45">
      <c r="A176" t="s">
        <v>20</v>
      </c>
      <c r="B176">
        <v>2017</v>
      </c>
      <c r="C176" s="1">
        <v>43925</v>
      </c>
      <c r="D176" t="s">
        <v>25</v>
      </c>
      <c r="E176">
        <v>2519299</v>
      </c>
      <c r="F176">
        <v>22572383</v>
      </c>
      <c r="G176">
        <v>11.16</v>
      </c>
      <c r="J176" s="4" t="s">
        <v>10</v>
      </c>
      <c r="K176" s="9">
        <v>1046117</v>
      </c>
      <c r="L176" s="9">
        <v>1132511</v>
      </c>
      <c r="M176" s="9">
        <v>1208918</v>
      </c>
      <c r="N176" s="9"/>
    </row>
    <row r="177" spans="1:14" x14ac:dyDescent="0.45">
      <c r="A177" t="s">
        <v>21</v>
      </c>
      <c r="B177">
        <v>2017</v>
      </c>
      <c r="C177" s="1">
        <v>43925</v>
      </c>
      <c r="D177" t="s">
        <v>25</v>
      </c>
      <c r="E177">
        <v>537029</v>
      </c>
      <c r="F177">
        <v>7015247</v>
      </c>
      <c r="G177">
        <v>7.66</v>
      </c>
      <c r="J177" s="4" t="s">
        <v>11</v>
      </c>
      <c r="K177" s="9">
        <v>688346</v>
      </c>
      <c r="L177" s="9">
        <v>697576</v>
      </c>
      <c r="M177" s="9">
        <v>687805</v>
      </c>
      <c r="N177" s="9"/>
    </row>
    <row r="178" spans="1:14" x14ac:dyDescent="0.45">
      <c r="A178" t="s">
        <v>7</v>
      </c>
      <c r="B178">
        <v>2017</v>
      </c>
      <c r="C178" s="1">
        <v>43956</v>
      </c>
      <c r="D178" t="s">
        <v>8</v>
      </c>
      <c r="E178">
        <v>65009</v>
      </c>
      <c r="F178">
        <v>593378</v>
      </c>
      <c r="G178">
        <v>10.96</v>
      </c>
      <c r="J178" s="4" t="s">
        <v>12</v>
      </c>
      <c r="K178" s="9">
        <v>4010356</v>
      </c>
      <c r="L178" s="9">
        <v>4065552</v>
      </c>
      <c r="M178" s="9">
        <v>4323833</v>
      </c>
      <c r="N178" s="9"/>
    </row>
    <row r="179" spans="1:14" x14ac:dyDescent="0.45">
      <c r="A179" t="s">
        <v>9</v>
      </c>
      <c r="B179">
        <v>2017</v>
      </c>
      <c r="C179" s="1">
        <v>43956</v>
      </c>
      <c r="D179" t="s">
        <v>8</v>
      </c>
      <c r="E179">
        <v>119635</v>
      </c>
      <c r="F179">
        <v>2455022</v>
      </c>
      <c r="G179">
        <v>4.87</v>
      </c>
      <c r="J179" s="4" t="s">
        <v>13</v>
      </c>
      <c r="K179" s="9">
        <v>2118017</v>
      </c>
      <c r="L179" s="9">
        <v>2174104</v>
      </c>
      <c r="M179" s="9">
        <v>2256725</v>
      </c>
      <c r="N179" s="9"/>
    </row>
    <row r="180" spans="1:14" x14ac:dyDescent="0.45">
      <c r="A180" t="s">
        <v>10</v>
      </c>
      <c r="B180">
        <v>2017</v>
      </c>
      <c r="C180" s="1">
        <v>43956</v>
      </c>
      <c r="D180" t="s">
        <v>8</v>
      </c>
      <c r="E180">
        <v>483545</v>
      </c>
      <c r="F180">
        <v>4634346</v>
      </c>
      <c r="G180">
        <v>10.43</v>
      </c>
      <c r="J180" s="4" t="s">
        <v>14</v>
      </c>
      <c r="K180" s="9">
        <v>334651</v>
      </c>
      <c r="L180" s="9">
        <v>315188</v>
      </c>
      <c r="M180" s="9">
        <v>373647</v>
      </c>
      <c r="N180" s="9"/>
    </row>
    <row r="181" spans="1:14" x14ac:dyDescent="0.45">
      <c r="A181" t="s">
        <v>11</v>
      </c>
      <c r="B181">
        <v>2017</v>
      </c>
      <c r="C181" s="1">
        <v>43956</v>
      </c>
      <c r="D181" t="s">
        <v>8</v>
      </c>
      <c r="E181">
        <v>266423</v>
      </c>
      <c r="F181">
        <v>3015481</v>
      </c>
      <c r="G181">
        <v>8.84</v>
      </c>
      <c r="J181" s="4" t="s">
        <v>15</v>
      </c>
      <c r="K181" s="9">
        <v>584726</v>
      </c>
      <c r="L181" s="9">
        <v>552437</v>
      </c>
      <c r="M181" s="9">
        <v>796502</v>
      </c>
      <c r="N181" s="9"/>
    </row>
    <row r="182" spans="1:14" x14ac:dyDescent="0.45">
      <c r="A182" t="s">
        <v>12</v>
      </c>
      <c r="B182">
        <v>2017</v>
      </c>
      <c r="C182" s="1">
        <v>43956</v>
      </c>
      <c r="D182" t="s">
        <v>8</v>
      </c>
      <c r="E182">
        <v>1611285</v>
      </c>
      <c r="F182">
        <v>17722275</v>
      </c>
      <c r="G182">
        <v>9.09</v>
      </c>
      <c r="J182" s="4" t="s">
        <v>16</v>
      </c>
      <c r="K182" s="9">
        <v>458420</v>
      </c>
      <c r="L182" s="9">
        <v>469260</v>
      </c>
      <c r="M182" s="9">
        <v>496230</v>
      </c>
      <c r="N182" s="9"/>
    </row>
    <row r="183" spans="1:14" x14ac:dyDescent="0.45">
      <c r="A183" t="s">
        <v>13</v>
      </c>
      <c r="B183">
        <v>2017</v>
      </c>
      <c r="C183" s="1">
        <v>43956</v>
      </c>
      <c r="D183" t="s">
        <v>8</v>
      </c>
      <c r="E183">
        <v>839733</v>
      </c>
      <c r="F183">
        <v>10556100</v>
      </c>
      <c r="G183">
        <v>7.95</v>
      </c>
      <c r="J183" s="4" t="s">
        <v>17</v>
      </c>
      <c r="K183" s="9">
        <v>1155658</v>
      </c>
      <c r="L183" s="9">
        <v>1274098</v>
      </c>
      <c r="M183" s="9">
        <v>1350615</v>
      </c>
      <c r="N183" s="9"/>
    </row>
    <row r="184" spans="1:14" x14ac:dyDescent="0.45">
      <c r="A184" t="s">
        <v>14</v>
      </c>
      <c r="B184">
        <v>2017</v>
      </c>
      <c r="C184" s="1">
        <v>43956</v>
      </c>
      <c r="D184" t="s">
        <v>8</v>
      </c>
      <c r="E184">
        <v>141906</v>
      </c>
      <c r="F184">
        <v>2356231</v>
      </c>
      <c r="G184">
        <v>6.02</v>
      </c>
      <c r="J184" s="4" t="s">
        <v>18</v>
      </c>
      <c r="K184" s="9">
        <v>1075960</v>
      </c>
      <c r="L184" s="9">
        <v>1139991</v>
      </c>
      <c r="M184" s="9">
        <v>1114728</v>
      </c>
      <c r="N184" s="9"/>
    </row>
    <row r="185" spans="1:14" x14ac:dyDescent="0.45">
      <c r="A185" t="s">
        <v>15</v>
      </c>
      <c r="B185">
        <v>2017</v>
      </c>
      <c r="C185" s="1">
        <v>43956</v>
      </c>
      <c r="D185" t="s">
        <v>8</v>
      </c>
      <c r="E185">
        <v>235849</v>
      </c>
      <c r="F185">
        <v>3670568</v>
      </c>
      <c r="G185">
        <v>6.43</v>
      </c>
      <c r="J185" s="4" t="s">
        <v>19</v>
      </c>
      <c r="K185" s="9">
        <v>156124</v>
      </c>
      <c r="L185" s="9">
        <v>163256</v>
      </c>
      <c r="M185" s="9">
        <v>156833</v>
      </c>
      <c r="N185" s="9"/>
    </row>
    <row r="186" spans="1:14" x14ac:dyDescent="0.45">
      <c r="A186" t="s">
        <v>16</v>
      </c>
      <c r="B186">
        <v>2017</v>
      </c>
      <c r="C186" s="1">
        <v>43956</v>
      </c>
      <c r="D186" t="s">
        <v>8</v>
      </c>
      <c r="E186">
        <v>328676</v>
      </c>
      <c r="F186">
        <v>3807282</v>
      </c>
      <c r="G186">
        <v>8.6300000000000008</v>
      </c>
      <c r="J186" s="4" t="s">
        <v>24</v>
      </c>
      <c r="K186" s="9">
        <v>548648</v>
      </c>
      <c r="L186" s="9">
        <v>524502</v>
      </c>
      <c r="M186" s="9">
        <v>520467</v>
      </c>
      <c r="N186" s="9"/>
    </row>
    <row r="187" spans="1:14" x14ac:dyDescent="0.45">
      <c r="A187" t="s">
        <v>17</v>
      </c>
      <c r="B187">
        <v>2017</v>
      </c>
      <c r="C187" s="1">
        <v>43956</v>
      </c>
      <c r="D187" t="s">
        <v>8</v>
      </c>
      <c r="E187">
        <v>521332</v>
      </c>
      <c r="F187">
        <v>5815595</v>
      </c>
      <c r="G187">
        <v>8.9600000000000009</v>
      </c>
      <c r="J187" s="4" t="s">
        <v>20</v>
      </c>
      <c r="K187" s="9">
        <v>4360146</v>
      </c>
      <c r="L187" s="9">
        <v>3839614</v>
      </c>
      <c r="M187" s="9">
        <v>4014883</v>
      </c>
      <c r="N187" s="9"/>
    </row>
    <row r="188" spans="1:14" x14ac:dyDescent="0.45">
      <c r="A188" t="s">
        <v>18</v>
      </c>
      <c r="B188">
        <v>2017</v>
      </c>
      <c r="C188" s="1">
        <v>43956</v>
      </c>
      <c r="D188" t="s">
        <v>8</v>
      </c>
      <c r="E188">
        <v>446983</v>
      </c>
      <c r="F188">
        <v>5037634</v>
      </c>
      <c r="G188">
        <v>8.8699999999999992</v>
      </c>
      <c r="J188" s="4" t="s">
        <v>21</v>
      </c>
      <c r="K188" s="9">
        <v>1246054</v>
      </c>
      <c r="L188" s="9">
        <v>1262128</v>
      </c>
      <c r="M188" s="9">
        <v>1330024</v>
      </c>
      <c r="N188" s="9"/>
    </row>
    <row r="189" spans="1:14" x14ac:dyDescent="0.45">
      <c r="A189" t="s">
        <v>19</v>
      </c>
      <c r="B189">
        <v>2017</v>
      </c>
      <c r="C189" s="1">
        <v>43956</v>
      </c>
      <c r="D189" t="s">
        <v>8</v>
      </c>
      <c r="E189">
        <v>73128</v>
      </c>
      <c r="F189">
        <v>613251</v>
      </c>
      <c r="G189">
        <v>11.92</v>
      </c>
      <c r="J189" s="4" t="s">
        <v>22</v>
      </c>
      <c r="K189" s="9">
        <v>612186</v>
      </c>
      <c r="L189" s="9">
        <v>638897</v>
      </c>
      <c r="M189" s="9">
        <v>752121</v>
      </c>
      <c r="N189" s="9"/>
    </row>
    <row r="190" spans="1:14" x14ac:dyDescent="0.45">
      <c r="A190" t="s">
        <v>20</v>
      </c>
      <c r="B190">
        <v>2017</v>
      </c>
      <c r="C190" s="1">
        <v>43956</v>
      </c>
      <c r="D190" t="s">
        <v>8</v>
      </c>
      <c r="E190">
        <v>1340708</v>
      </c>
      <c r="F190">
        <v>22572383</v>
      </c>
      <c r="G190">
        <v>5.94</v>
      </c>
      <c r="J190" s="3" t="s">
        <v>38</v>
      </c>
      <c r="K190" s="9">
        <v>19723509</v>
      </c>
      <c r="L190" s="9">
        <v>19706070</v>
      </c>
      <c r="M190" s="9">
        <v>19885730</v>
      </c>
      <c r="N190" s="9"/>
    </row>
    <row r="191" spans="1:14" x14ac:dyDescent="0.45">
      <c r="A191" t="s">
        <v>21</v>
      </c>
      <c r="B191">
        <v>2017</v>
      </c>
      <c r="C191" s="1">
        <v>43956</v>
      </c>
      <c r="D191" t="s">
        <v>8</v>
      </c>
      <c r="E191">
        <v>400681</v>
      </c>
      <c r="F191">
        <v>7015247</v>
      </c>
      <c r="G191">
        <v>5.71</v>
      </c>
      <c r="J191" s="4" t="s">
        <v>7</v>
      </c>
      <c r="K191" s="9">
        <v>130126</v>
      </c>
      <c r="L191" s="9">
        <v>135315</v>
      </c>
      <c r="M191" s="9">
        <v>124142</v>
      </c>
      <c r="N191" s="9"/>
    </row>
    <row r="192" spans="1:14" x14ac:dyDescent="0.45">
      <c r="A192" t="s">
        <v>22</v>
      </c>
      <c r="B192">
        <v>2017</v>
      </c>
      <c r="C192" s="1">
        <v>43956</v>
      </c>
      <c r="D192" t="s">
        <v>8</v>
      </c>
      <c r="E192">
        <v>438642</v>
      </c>
      <c r="F192">
        <v>4805415</v>
      </c>
      <c r="G192">
        <v>9.1300000000000008</v>
      </c>
      <c r="J192" s="4" t="s">
        <v>9</v>
      </c>
      <c r="K192" s="9">
        <v>404645</v>
      </c>
      <c r="L192" s="9">
        <v>390867</v>
      </c>
      <c r="M192" s="9">
        <v>429236</v>
      </c>
      <c r="N192" s="9"/>
    </row>
    <row r="193" spans="1:14" x14ac:dyDescent="0.45">
      <c r="A193" t="s">
        <v>7</v>
      </c>
      <c r="B193">
        <v>2017</v>
      </c>
      <c r="C193" s="1">
        <v>43956</v>
      </c>
      <c r="D193" t="s">
        <v>23</v>
      </c>
      <c r="E193">
        <v>29093</v>
      </c>
      <c r="F193">
        <v>593378</v>
      </c>
      <c r="G193">
        <v>4.9000000000000004</v>
      </c>
      <c r="J193" s="4" t="s">
        <v>10</v>
      </c>
      <c r="K193" s="9">
        <v>1137440</v>
      </c>
      <c r="L193" s="9">
        <v>1164972</v>
      </c>
      <c r="M193" s="9">
        <v>1063402</v>
      </c>
      <c r="N193" s="9"/>
    </row>
    <row r="194" spans="1:14" x14ac:dyDescent="0.45">
      <c r="A194" t="s">
        <v>9</v>
      </c>
      <c r="B194">
        <v>2017</v>
      </c>
      <c r="C194" s="1">
        <v>43956</v>
      </c>
      <c r="D194" t="s">
        <v>23</v>
      </c>
      <c r="E194">
        <v>41613</v>
      </c>
      <c r="F194">
        <v>2455022</v>
      </c>
      <c r="G194">
        <v>1.7</v>
      </c>
      <c r="J194" s="4" t="s">
        <v>11</v>
      </c>
      <c r="K194" s="9">
        <v>657889</v>
      </c>
      <c r="L194" s="9">
        <v>656034</v>
      </c>
      <c r="M194" s="9">
        <v>657716</v>
      </c>
      <c r="N194" s="9"/>
    </row>
    <row r="195" spans="1:14" x14ac:dyDescent="0.45">
      <c r="A195" t="s">
        <v>10</v>
      </c>
      <c r="B195">
        <v>2017</v>
      </c>
      <c r="C195" s="1">
        <v>43956</v>
      </c>
      <c r="D195" t="s">
        <v>23</v>
      </c>
      <c r="E195">
        <v>197129</v>
      </c>
      <c r="F195">
        <v>4634346</v>
      </c>
      <c r="G195">
        <v>4.25</v>
      </c>
      <c r="J195" s="4" t="s">
        <v>12</v>
      </c>
      <c r="K195" s="9">
        <v>4175112</v>
      </c>
      <c r="L195" s="9">
        <v>4226834</v>
      </c>
      <c r="M195" s="9">
        <v>4250729</v>
      </c>
      <c r="N195" s="9"/>
    </row>
    <row r="196" spans="1:14" x14ac:dyDescent="0.45">
      <c r="A196" t="s">
        <v>11</v>
      </c>
      <c r="B196">
        <v>2017</v>
      </c>
      <c r="C196" s="1">
        <v>43956</v>
      </c>
      <c r="D196" t="s">
        <v>23</v>
      </c>
      <c r="E196">
        <v>153124</v>
      </c>
      <c r="F196">
        <v>3015481</v>
      </c>
      <c r="G196">
        <v>5.08</v>
      </c>
      <c r="J196" s="4" t="s">
        <v>13</v>
      </c>
      <c r="K196" s="9">
        <v>2214515</v>
      </c>
      <c r="L196" s="9">
        <v>2149718</v>
      </c>
      <c r="M196" s="9">
        <v>2082596</v>
      </c>
      <c r="N196" s="9"/>
    </row>
    <row r="197" spans="1:14" x14ac:dyDescent="0.45">
      <c r="A197" t="s">
        <v>12</v>
      </c>
      <c r="B197">
        <v>2017</v>
      </c>
      <c r="C197" s="1">
        <v>43956</v>
      </c>
      <c r="D197" t="s">
        <v>23</v>
      </c>
      <c r="E197">
        <v>729941</v>
      </c>
      <c r="F197">
        <v>17722275</v>
      </c>
      <c r="G197">
        <v>4.12</v>
      </c>
      <c r="J197" s="4" t="s">
        <v>14</v>
      </c>
      <c r="K197" s="9">
        <v>385924</v>
      </c>
      <c r="L197" s="9">
        <v>376119</v>
      </c>
      <c r="M197" s="9">
        <v>394152</v>
      </c>
      <c r="N197" s="9"/>
    </row>
    <row r="198" spans="1:14" x14ac:dyDescent="0.45">
      <c r="A198" t="s">
        <v>13</v>
      </c>
      <c r="B198">
        <v>2017</v>
      </c>
      <c r="C198" s="1">
        <v>43956</v>
      </c>
      <c r="D198" t="s">
        <v>23</v>
      </c>
      <c r="E198">
        <v>412985</v>
      </c>
      <c r="F198">
        <v>10556100</v>
      </c>
      <c r="G198">
        <v>3.91</v>
      </c>
      <c r="J198" s="4" t="s">
        <v>15</v>
      </c>
      <c r="K198" s="9">
        <v>614458</v>
      </c>
      <c r="L198" s="9">
        <v>595722</v>
      </c>
      <c r="M198" s="9">
        <v>728629</v>
      </c>
      <c r="N198" s="9"/>
    </row>
    <row r="199" spans="1:14" x14ac:dyDescent="0.45">
      <c r="A199" t="s">
        <v>15</v>
      </c>
      <c r="B199">
        <v>2017</v>
      </c>
      <c r="C199" s="1">
        <v>43956</v>
      </c>
      <c r="D199" t="s">
        <v>23</v>
      </c>
      <c r="E199">
        <v>64019</v>
      </c>
      <c r="F199">
        <v>3670568</v>
      </c>
      <c r="G199">
        <v>1.74</v>
      </c>
      <c r="J199" s="4" t="s">
        <v>16</v>
      </c>
      <c r="K199" s="9">
        <v>459083</v>
      </c>
      <c r="L199" s="9">
        <v>471966</v>
      </c>
      <c r="M199" s="9">
        <v>467214</v>
      </c>
      <c r="N199" s="9"/>
    </row>
    <row r="200" spans="1:14" x14ac:dyDescent="0.45">
      <c r="A200" t="s">
        <v>16</v>
      </c>
      <c r="B200">
        <v>2017</v>
      </c>
      <c r="C200" s="1">
        <v>43956</v>
      </c>
      <c r="D200" t="s">
        <v>23</v>
      </c>
      <c r="E200">
        <v>106659</v>
      </c>
      <c r="F200">
        <v>3807282</v>
      </c>
      <c r="G200">
        <v>2.8</v>
      </c>
      <c r="J200" s="4" t="s">
        <v>17</v>
      </c>
      <c r="K200" s="9">
        <v>1281670</v>
      </c>
      <c r="L200" s="9">
        <v>1236812</v>
      </c>
      <c r="M200" s="9">
        <v>1175387</v>
      </c>
      <c r="N200" s="9"/>
    </row>
    <row r="201" spans="1:14" x14ac:dyDescent="0.45">
      <c r="A201" t="s">
        <v>17</v>
      </c>
      <c r="B201">
        <v>2017</v>
      </c>
      <c r="C201" s="1">
        <v>43956</v>
      </c>
      <c r="D201" t="s">
        <v>23</v>
      </c>
      <c r="E201">
        <v>326913</v>
      </c>
      <c r="F201">
        <v>5815595</v>
      </c>
      <c r="G201">
        <v>5.62</v>
      </c>
      <c r="J201" s="4" t="s">
        <v>18</v>
      </c>
      <c r="K201" s="9">
        <v>1110701</v>
      </c>
      <c r="L201" s="9">
        <v>1084997</v>
      </c>
      <c r="M201" s="9">
        <v>1125395</v>
      </c>
      <c r="N201" s="9"/>
    </row>
    <row r="202" spans="1:14" x14ac:dyDescent="0.45">
      <c r="A202" t="s">
        <v>18</v>
      </c>
      <c r="B202">
        <v>2017</v>
      </c>
      <c r="C202" s="1">
        <v>43956</v>
      </c>
      <c r="D202" t="s">
        <v>23</v>
      </c>
      <c r="E202">
        <v>153723</v>
      </c>
      <c r="F202">
        <v>5037634</v>
      </c>
      <c r="G202">
        <v>3.05</v>
      </c>
      <c r="J202" s="4" t="s">
        <v>19</v>
      </c>
      <c r="K202" s="9">
        <v>167834</v>
      </c>
      <c r="L202" s="9">
        <v>157979</v>
      </c>
      <c r="M202" s="9">
        <v>152858</v>
      </c>
      <c r="N202" s="9"/>
    </row>
    <row r="203" spans="1:14" x14ac:dyDescent="0.45">
      <c r="A203" t="s">
        <v>19</v>
      </c>
      <c r="B203">
        <v>2017</v>
      </c>
      <c r="C203" s="1">
        <v>43956</v>
      </c>
      <c r="D203" t="s">
        <v>23</v>
      </c>
      <c r="E203">
        <v>15738</v>
      </c>
      <c r="F203">
        <v>613251</v>
      </c>
      <c r="G203">
        <v>2.57</v>
      </c>
      <c r="J203" s="4" t="s">
        <v>24</v>
      </c>
      <c r="K203" s="9">
        <v>478122</v>
      </c>
      <c r="L203" s="9">
        <v>508832</v>
      </c>
      <c r="M203" s="9">
        <v>462162</v>
      </c>
      <c r="N203" s="9"/>
    </row>
    <row r="204" spans="1:14" x14ac:dyDescent="0.45">
      <c r="A204" t="s">
        <v>24</v>
      </c>
      <c r="B204">
        <v>2017</v>
      </c>
      <c r="C204" s="1">
        <v>43956</v>
      </c>
      <c r="D204" t="s">
        <v>23</v>
      </c>
      <c r="E204">
        <v>143717</v>
      </c>
      <c r="F204">
        <v>3468412</v>
      </c>
      <c r="G204">
        <v>4.1399999999999997</v>
      </c>
      <c r="J204" s="4" t="s">
        <v>20</v>
      </c>
      <c r="K204" s="9">
        <v>4372854</v>
      </c>
      <c r="L204" s="9">
        <v>4420806</v>
      </c>
      <c r="M204" s="9">
        <v>4657547</v>
      </c>
      <c r="N204" s="9"/>
    </row>
    <row r="205" spans="1:14" x14ac:dyDescent="0.45">
      <c r="A205" t="s">
        <v>20</v>
      </c>
      <c r="B205">
        <v>2017</v>
      </c>
      <c r="C205" s="1">
        <v>43956</v>
      </c>
      <c r="D205" t="s">
        <v>23</v>
      </c>
      <c r="E205">
        <v>589272</v>
      </c>
      <c r="F205">
        <v>22572383</v>
      </c>
      <c r="G205">
        <v>2.61</v>
      </c>
      <c r="J205" s="4" t="s">
        <v>21</v>
      </c>
      <c r="K205" s="9">
        <v>1292980</v>
      </c>
      <c r="L205" s="9">
        <v>1335589</v>
      </c>
      <c r="M205" s="9">
        <v>1319869</v>
      </c>
      <c r="N205" s="9"/>
    </row>
    <row r="206" spans="1:14" x14ac:dyDescent="0.45">
      <c r="A206" t="s">
        <v>21</v>
      </c>
      <c r="B206">
        <v>2017</v>
      </c>
      <c r="C206" s="1">
        <v>43956</v>
      </c>
      <c r="D206" t="s">
        <v>23</v>
      </c>
      <c r="E206">
        <v>293784</v>
      </c>
      <c r="F206">
        <v>7015247</v>
      </c>
      <c r="G206">
        <v>4.1900000000000004</v>
      </c>
      <c r="J206" s="4" t="s">
        <v>22</v>
      </c>
      <c r="K206" s="9">
        <v>840156</v>
      </c>
      <c r="L206" s="9">
        <v>793508</v>
      </c>
      <c r="M206" s="9">
        <v>794696</v>
      </c>
      <c r="N206" s="9"/>
    </row>
    <row r="207" spans="1:14" x14ac:dyDescent="0.45">
      <c r="A207" t="s">
        <v>22</v>
      </c>
      <c r="B207">
        <v>2017</v>
      </c>
      <c r="C207" s="1">
        <v>43956</v>
      </c>
      <c r="D207" t="s">
        <v>23</v>
      </c>
      <c r="E207">
        <v>139058</v>
      </c>
      <c r="F207">
        <v>4805415</v>
      </c>
      <c r="G207">
        <v>2.89</v>
      </c>
      <c r="J207" s="3" t="s">
        <v>39</v>
      </c>
      <c r="K207" s="9">
        <v>22093271</v>
      </c>
      <c r="L207" s="9">
        <v>20832745</v>
      </c>
      <c r="M207" s="9">
        <v>21390160</v>
      </c>
      <c r="N207" s="9"/>
    </row>
    <row r="208" spans="1:14" x14ac:dyDescent="0.45">
      <c r="A208" t="s">
        <v>7</v>
      </c>
      <c r="B208">
        <v>2017</v>
      </c>
      <c r="C208" s="1">
        <v>43956</v>
      </c>
      <c r="D208" t="s">
        <v>25</v>
      </c>
      <c r="E208">
        <v>65609</v>
      </c>
      <c r="F208">
        <v>593378</v>
      </c>
      <c r="G208">
        <v>11.06</v>
      </c>
      <c r="J208" s="4" t="s">
        <v>7</v>
      </c>
      <c r="K208" s="9">
        <v>138950</v>
      </c>
      <c r="L208" s="9">
        <v>140852</v>
      </c>
      <c r="M208" s="9">
        <v>137370</v>
      </c>
      <c r="N208" s="9"/>
    </row>
    <row r="209" spans="1:14" x14ac:dyDescent="0.45">
      <c r="A209" t="s">
        <v>9</v>
      </c>
      <c r="B209">
        <v>2017</v>
      </c>
      <c r="C209" s="1">
        <v>43956</v>
      </c>
      <c r="D209" t="s">
        <v>25</v>
      </c>
      <c r="E209">
        <v>197455</v>
      </c>
      <c r="F209">
        <v>2455022</v>
      </c>
      <c r="G209">
        <v>8.0399999999999991</v>
      </c>
      <c r="J209" s="4" t="s">
        <v>9</v>
      </c>
      <c r="K209" s="9">
        <v>372246</v>
      </c>
      <c r="L209" s="9">
        <v>358901</v>
      </c>
      <c r="M209" s="9">
        <v>374917</v>
      </c>
      <c r="N209" s="9"/>
    </row>
    <row r="210" spans="1:14" x14ac:dyDescent="0.45">
      <c r="A210" t="s">
        <v>10</v>
      </c>
      <c r="B210">
        <v>2017</v>
      </c>
      <c r="C210" s="1">
        <v>43956</v>
      </c>
      <c r="D210" t="s">
        <v>25</v>
      </c>
      <c r="E210">
        <v>480823</v>
      </c>
      <c r="F210">
        <v>4634346</v>
      </c>
      <c r="G210">
        <v>10.38</v>
      </c>
      <c r="J210" s="4" t="s">
        <v>10</v>
      </c>
      <c r="K210" s="9">
        <v>1304287</v>
      </c>
      <c r="L210" s="9">
        <v>1337773</v>
      </c>
      <c r="M210" s="9">
        <v>1104896</v>
      </c>
      <c r="N210" s="9"/>
    </row>
    <row r="211" spans="1:14" x14ac:dyDescent="0.45">
      <c r="A211" t="s">
        <v>11</v>
      </c>
      <c r="B211">
        <v>2017</v>
      </c>
      <c r="C211" s="1">
        <v>43956</v>
      </c>
      <c r="D211" t="s">
        <v>25</v>
      </c>
      <c r="E211">
        <v>234447</v>
      </c>
      <c r="F211">
        <v>3015481</v>
      </c>
      <c r="G211">
        <v>7.77</v>
      </c>
      <c r="J211" s="4" t="s">
        <v>11</v>
      </c>
      <c r="K211" s="9">
        <v>613828</v>
      </c>
      <c r="L211" s="9">
        <v>618878</v>
      </c>
      <c r="M211" s="9">
        <v>659378</v>
      </c>
      <c r="N211" s="9"/>
    </row>
    <row r="212" spans="1:14" x14ac:dyDescent="0.45">
      <c r="A212" t="s">
        <v>12</v>
      </c>
      <c r="B212">
        <v>2017</v>
      </c>
      <c r="C212" s="1">
        <v>43956</v>
      </c>
      <c r="D212" t="s">
        <v>25</v>
      </c>
      <c r="E212">
        <v>1732001</v>
      </c>
      <c r="F212">
        <v>17722275</v>
      </c>
      <c r="G212">
        <v>9.77</v>
      </c>
      <c r="J212" s="4" t="s">
        <v>12</v>
      </c>
      <c r="K212" s="9">
        <v>4861884</v>
      </c>
      <c r="L212" s="9">
        <v>4758654</v>
      </c>
      <c r="M212" s="9">
        <v>5025769</v>
      </c>
      <c r="N212" s="9"/>
    </row>
    <row r="213" spans="1:14" x14ac:dyDescent="0.45">
      <c r="A213" t="s">
        <v>13</v>
      </c>
      <c r="B213">
        <v>2017</v>
      </c>
      <c r="C213" s="1">
        <v>43956</v>
      </c>
      <c r="D213" t="s">
        <v>25</v>
      </c>
      <c r="E213">
        <v>1130691</v>
      </c>
      <c r="F213">
        <v>10556100</v>
      </c>
      <c r="G213">
        <v>10.71</v>
      </c>
      <c r="J213" s="4" t="s">
        <v>13</v>
      </c>
      <c r="K213" s="9">
        <v>2563486</v>
      </c>
      <c r="L213" s="9">
        <v>2539329</v>
      </c>
      <c r="M213" s="9">
        <v>2611940</v>
      </c>
      <c r="N213" s="9"/>
    </row>
    <row r="214" spans="1:14" x14ac:dyDescent="0.45">
      <c r="A214" t="s">
        <v>14</v>
      </c>
      <c r="B214">
        <v>2017</v>
      </c>
      <c r="C214" s="1">
        <v>43956</v>
      </c>
      <c r="D214" t="s">
        <v>25</v>
      </c>
      <c r="E214">
        <v>190116</v>
      </c>
      <c r="F214">
        <v>2356231</v>
      </c>
      <c r="G214">
        <v>8.07</v>
      </c>
      <c r="J214" s="4" t="s">
        <v>14</v>
      </c>
      <c r="K214" s="9">
        <v>369938</v>
      </c>
      <c r="L214" s="9">
        <v>365075</v>
      </c>
      <c r="M214" s="9">
        <v>338481</v>
      </c>
      <c r="N214" s="9"/>
    </row>
    <row r="215" spans="1:14" x14ac:dyDescent="0.45">
      <c r="A215" t="s">
        <v>15</v>
      </c>
      <c r="B215">
        <v>2017</v>
      </c>
      <c r="C215" s="1">
        <v>43956</v>
      </c>
      <c r="D215" t="s">
        <v>25</v>
      </c>
      <c r="E215">
        <v>269277</v>
      </c>
      <c r="F215">
        <v>3670568</v>
      </c>
      <c r="G215">
        <v>7.34</v>
      </c>
      <c r="J215" s="4" t="s">
        <v>15</v>
      </c>
      <c r="K215" s="9">
        <v>614112</v>
      </c>
      <c r="L215" s="9">
        <v>597069</v>
      </c>
      <c r="M215" s="9">
        <v>606265</v>
      </c>
      <c r="N215" s="9"/>
    </row>
    <row r="216" spans="1:14" x14ac:dyDescent="0.45">
      <c r="A216" t="s">
        <v>17</v>
      </c>
      <c r="B216">
        <v>2017</v>
      </c>
      <c r="C216" s="1">
        <v>43956</v>
      </c>
      <c r="D216" t="s">
        <v>25</v>
      </c>
      <c r="E216">
        <v>547143</v>
      </c>
      <c r="F216">
        <v>5815595</v>
      </c>
      <c r="G216">
        <v>9.41</v>
      </c>
      <c r="J216" s="4" t="s">
        <v>16</v>
      </c>
      <c r="K216" s="9">
        <v>536419</v>
      </c>
      <c r="L216" s="9">
        <v>427636</v>
      </c>
      <c r="M216" s="9">
        <v>565805</v>
      </c>
      <c r="N216" s="9"/>
    </row>
    <row r="217" spans="1:14" x14ac:dyDescent="0.45">
      <c r="A217" t="s">
        <v>18</v>
      </c>
      <c r="B217">
        <v>2017</v>
      </c>
      <c r="C217" s="1">
        <v>43956</v>
      </c>
      <c r="D217" t="s">
        <v>25</v>
      </c>
      <c r="E217">
        <v>546178</v>
      </c>
      <c r="F217">
        <v>5037634</v>
      </c>
      <c r="G217">
        <v>10.84</v>
      </c>
      <c r="J217" s="4" t="s">
        <v>17</v>
      </c>
      <c r="K217" s="9">
        <v>1569705</v>
      </c>
      <c r="L217" s="9">
        <v>1515684</v>
      </c>
      <c r="M217" s="9">
        <v>1599307</v>
      </c>
      <c r="N217" s="9"/>
    </row>
    <row r="218" spans="1:14" x14ac:dyDescent="0.45">
      <c r="A218" t="s">
        <v>19</v>
      </c>
      <c r="B218">
        <v>2017</v>
      </c>
      <c r="C218" s="1">
        <v>43956</v>
      </c>
      <c r="D218" t="s">
        <v>25</v>
      </c>
      <c r="E218">
        <v>95223</v>
      </c>
      <c r="F218">
        <v>613251</v>
      </c>
      <c r="G218">
        <v>15.53</v>
      </c>
      <c r="J218" s="4" t="s">
        <v>18</v>
      </c>
      <c r="K218" s="9">
        <v>1031979</v>
      </c>
      <c r="L218" s="9">
        <v>995868</v>
      </c>
      <c r="M218" s="9">
        <v>1119024</v>
      </c>
      <c r="N218" s="9"/>
    </row>
    <row r="219" spans="1:14" x14ac:dyDescent="0.45">
      <c r="A219" t="s">
        <v>24</v>
      </c>
      <c r="B219">
        <v>2017</v>
      </c>
      <c r="C219" s="1">
        <v>43956</v>
      </c>
      <c r="D219" t="s">
        <v>25</v>
      </c>
      <c r="E219">
        <v>324285</v>
      </c>
      <c r="F219">
        <v>3468412</v>
      </c>
      <c r="G219">
        <v>9.35</v>
      </c>
      <c r="J219" s="4" t="s">
        <v>19</v>
      </c>
      <c r="K219" s="9">
        <v>162585</v>
      </c>
      <c r="L219" s="9">
        <v>183715</v>
      </c>
      <c r="M219" s="9">
        <v>191845</v>
      </c>
      <c r="N219" s="9"/>
    </row>
    <row r="220" spans="1:14" x14ac:dyDescent="0.45">
      <c r="A220" t="s">
        <v>20</v>
      </c>
      <c r="B220">
        <v>2017</v>
      </c>
      <c r="C220" s="1">
        <v>43956</v>
      </c>
      <c r="D220" t="s">
        <v>25</v>
      </c>
      <c r="E220">
        <v>2230238</v>
      </c>
      <c r="F220">
        <v>22572383</v>
      </c>
      <c r="G220">
        <v>9.8800000000000008</v>
      </c>
      <c r="J220" s="4" t="s">
        <v>24</v>
      </c>
      <c r="K220" s="9">
        <v>490093</v>
      </c>
      <c r="L220" s="9">
        <v>486583</v>
      </c>
      <c r="M220" s="9">
        <v>482542</v>
      </c>
      <c r="N220" s="9"/>
    </row>
    <row r="221" spans="1:14" x14ac:dyDescent="0.45">
      <c r="A221" t="s">
        <v>21</v>
      </c>
      <c r="B221">
        <v>2017</v>
      </c>
      <c r="C221" s="1">
        <v>43956</v>
      </c>
      <c r="D221" t="s">
        <v>25</v>
      </c>
      <c r="E221">
        <v>657746</v>
      </c>
      <c r="F221">
        <v>7015247</v>
      </c>
      <c r="G221">
        <v>9.3800000000000008</v>
      </c>
      <c r="J221" s="4" t="s">
        <v>20</v>
      </c>
      <c r="K221" s="9">
        <v>5358368</v>
      </c>
      <c r="L221" s="9">
        <v>4517704</v>
      </c>
      <c r="M221" s="9">
        <v>4443547</v>
      </c>
      <c r="N221" s="9"/>
    </row>
    <row r="222" spans="1:14" x14ac:dyDescent="0.45">
      <c r="A222" t="s">
        <v>7</v>
      </c>
      <c r="B222">
        <v>2017</v>
      </c>
      <c r="C222" s="1">
        <v>43988</v>
      </c>
      <c r="D222" t="s">
        <v>8</v>
      </c>
      <c r="E222">
        <v>74444</v>
      </c>
      <c r="F222">
        <v>593378</v>
      </c>
      <c r="G222">
        <v>12.55</v>
      </c>
      <c r="J222" s="4" t="s">
        <v>21</v>
      </c>
      <c r="K222" s="9">
        <v>1392434</v>
      </c>
      <c r="L222" s="9">
        <v>1400226</v>
      </c>
      <c r="M222" s="9">
        <v>1449620</v>
      </c>
      <c r="N222" s="9"/>
    </row>
    <row r="223" spans="1:14" x14ac:dyDescent="0.45">
      <c r="A223" t="s">
        <v>9</v>
      </c>
      <c r="B223">
        <v>2017</v>
      </c>
      <c r="C223" s="1">
        <v>43988</v>
      </c>
      <c r="D223" t="s">
        <v>8</v>
      </c>
      <c r="E223">
        <v>134789</v>
      </c>
      <c r="F223">
        <v>2455022</v>
      </c>
      <c r="G223">
        <v>5.49</v>
      </c>
      <c r="J223" s="4" t="s">
        <v>22</v>
      </c>
      <c r="K223" s="9">
        <v>712957</v>
      </c>
      <c r="L223" s="9">
        <v>588798</v>
      </c>
      <c r="M223" s="9">
        <v>679454</v>
      </c>
      <c r="N223" s="9"/>
    </row>
    <row r="224" spans="1:14" x14ac:dyDescent="0.45">
      <c r="A224" t="s">
        <v>10</v>
      </c>
      <c r="B224">
        <v>2017</v>
      </c>
      <c r="C224" s="1">
        <v>43988</v>
      </c>
      <c r="D224" t="s">
        <v>8</v>
      </c>
      <c r="E224">
        <v>591260</v>
      </c>
      <c r="F224">
        <v>4634346</v>
      </c>
      <c r="G224">
        <v>12.76</v>
      </c>
      <c r="J224" s="3" t="s">
        <v>27</v>
      </c>
      <c r="K224" s="9">
        <v>226766022</v>
      </c>
      <c r="L224" s="9">
        <v>226360423</v>
      </c>
      <c r="M224" s="9">
        <v>230257107</v>
      </c>
      <c r="N224" s="9">
        <v>111401599</v>
      </c>
    </row>
    <row r="225" spans="1:7" x14ac:dyDescent="0.45">
      <c r="A225" t="s">
        <v>11</v>
      </c>
      <c r="B225">
        <v>2017</v>
      </c>
      <c r="C225" s="1">
        <v>43988</v>
      </c>
      <c r="D225" t="s">
        <v>8</v>
      </c>
      <c r="E225">
        <v>315753</v>
      </c>
      <c r="F225">
        <v>3015481</v>
      </c>
      <c r="G225">
        <v>10.47</v>
      </c>
    </row>
    <row r="226" spans="1:7" x14ac:dyDescent="0.45">
      <c r="A226" t="s">
        <v>12</v>
      </c>
      <c r="B226">
        <v>2017</v>
      </c>
      <c r="C226" s="1">
        <v>43988</v>
      </c>
      <c r="D226" t="s">
        <v>8</v>
      </c>
      <c r="E226">
        <v>1891872</v>
      </c>
      <c r="F226">
        <v>17722275</v>
      </c>
      <c r="G226">
        <v>10.68</v>
      </c>
    </row>
    <row r="227" spans="1:7" x14ac:dyDescent="0.45">
      <c r="A227" t="s">
        <v>13</v>
      </c>
      <c r="B227">
        <v>2017</v>
      </c>
      <c r="C227" s="1">
        <v>43988</v>
      </c>
      <c r="D227" t="s">
        <v>8</v>
      </c>
      <c r="E227">
        <v>969247</v>
      </c>
      <c r="F227">
        <v>10556100</v>
      </c>
      <c r="G227">
        <v>9.18</v>
      </c>
    </row>
    <row r="228" spans="1:7" x14ac:dyDescent="0.45">
      <c r="A228" t="s">
        <v>14</v>
      </c>
      <c r="B228">
        <v>2017</v>
      </c>
      <c r="C228" s="1">
        <v>43988</v>
      </c>
      <c r="D228" t="s">
        <v>8</v>
      </c>
      <c r="E228">
        <v>155343</v>
      </c>
      <c r="F228">
        <v>2356231</v>
      </c>
      <c r="G228">
        <v>6.59</v>
      </c>
    </row>
    <row r="229" spans="1:7" x14ac:dyDescent="0.45">
      <c r="A229" t="s">
        <v>15</v>
      </c>
      <c r="B229">
        <v>2017</v>
      </c>
      <c r="C229" s="1">
        <v>43988</v>
      </c>
      <c r="D229" t="s">
        <v>8</v>
      </c>
      <c r="E229">
        <v>267204</v>
      </c>
      <c r="F229">
        <v>3670568</v>
      </c>
      <c r="G229">
        <v>7.28</v>
      </c>
    </row>
    <row r="230" spans="1:7" x14ac:dyDescent="0.45">
      <c r="A230" t="s">
        <v>16</v>
      </c>
      <c r="B230">
        <v>2017</v>
      </c>
      <c r="C230" s="1">
        <v>43988</v>
      </c>
      <c r="D230" t="s">
        <v>8</v>
      </c>
      <c r="E230">
        <v>357440</v>
      </c>
      <c r="F230">
        <v>3807282</v>
      </c>
      <c r="G230">
        <v>9.39</v>
      </c>
    </row>
    <row r="231" spans="1:7" x14ac:dyDescent="0.45">
      <c r="A231" t="s">
        <v>17</v>
      </c>
      <c r="B231">
        <v>2017</v>
      </c>
      <c r="C231" s="1">
        <v>43988</v>
      </c>
      <c r="D231" t="s">
        <v>8</v>
      </c>
      <c r="E231">
        <v>774198</v>
      </c>
      <c r="F231">
        <v>5815595</v>
      </c>
      <c r="G231">
        <v>13.31</v>
      </c>
    </row>
    <row r="232" spans="1:7" x14ac:dyDescent="0.45">
      <c r="A232" t="s">
        <v>18</v>
      </c>
      <c r="B232">
        <v>2017</v>
      </c>
      <c r="C232" s="1">
        <v>43988</v>
      </c>
      <c r="D232" t="s">
        <v>8</v>
      </c>
      <c r="E232">
        <v>490417</v>
      </c>
      <c r="F232">
        <v>5037634</v>
      </c>
      <c r="G232">
        <v>9.74</v>
      </c>
    </row>
    <row r="233" spans="1:7" x14ac:dyDescent="0.45">
      <c r="A233" t="s">
        <v>19</v>
      </c>
      <c r="B233">
        <v>2017</v>
      </c>
      <c r="C233" s="1">
        <v>43988</v>
      </c>
      <c r="D233" t="s">
        <v>8</v>
      </c>
      <c r="E233">
        <v>82648</v>
      </c>
      <c r="F233">
        <v>613251</v>
      </c>
      <c r="G233">
        <v>13.48</v>
      </c>
    </row>
    <row r="234" spans="1:7" x14ac:dyDescent="0.45">
      <c r="A234" t="s">
        <v>20</v>
      </c>
      <c r="B234">
        <v>2017</v>
      </c>
      <c r="C234" s="1">
        <v>43988</v>
      </c>
      <c r="D234" t="s">
        <v>8</v>
      </c>
      <c r="E234">
        <v>1325485</v>
      </c>
      <c r="F234">
        <v>22572383</v>
      </c>
      <c r="G234">
        <v>5.87</v>
      </c>
    </row>
    <row r="235" spans="1:7" x14ac:dyDescent="0.45">
      <c r="A235" t="s">
        <v>21</v>
      </c>
      <c r="B235">
        <v>2017</v>
      </c>
      <c r="C235" s="1">
        <v>43988</v>
      </c>
      <c r="D235" t="s">
        <v>8</v>
      </c>
      <c r="E235">
        <v>397435</v>
      </c>
      <c r="F235">
        <v>7015247</v>
      </c>
      <c r="G235">
        <v>5.67</v>
      </c>
    </row>
    <row r="236" spans="1:7" x14ac:dyDescent="0.45">
      <c r="A236" t="s">
        <v>22</v>
      </c>
      <c r="B236">
        <v>2017</v>
      </c>
      <c r="C236" s="1">
        <v>43988</v>
      </c>
      <c r="D236" t="s">
        <v>8</v>
      </c>
      <c r="E236">
        <v>582305</v>
      </c>
      <c r="F236">
        <v>4805415</v>
      </c>
      <c r="G236">
        <v>12.12</v>
      </c>
    </row>
    <row r="237" spans="1:7" x14ac:dyDescent="0.45">
      <c r="A237" t="s">
        <v>7</v>
      </c>
      <c r="B237">
        <v>2017</v>
      </c>
      <c r="C237" s="1">
        <v>43988</v>
      </c>
      <c r="D237" t="s">
        <v>23</v>
      </c>
      <c r="E237">
        <v>32537</v>
      </c>
      <c r="F237">
        <v>593378</v>
      </c>
      <c r="G237">
        <v>5.48</v>
      </c>
    </row>
    <row r="238" spans="1:7" x14ac:dyDescent="0.45">
      <c r="A238" t="s">
        <v>9</v>
      </c>
      <c r="B238">
        <v>2017</v>
      </c>
      <c r="C238" s="1">
        <v>43988</v>
      </c>
      <c r="D238" t="s">
        <v>23</v>
      </c>
      <c r="E238">
        <v>42600</v>
      </c>
      <c r="F238">
        <v>2455022</v>
      </c>
      <c r="G238">
        <v>1.74</v>
      </c>
    </row>
    <row r="239" spans="1:7" x14ac:dyDescent="0.45">
      <c r="A239" t="s">
        <v>10</v>
      </c>
      <c r="B239">
        <v>2017</v>
      </c>
      <c r="C239" s="1">
        <v>43988</v>
      </c>
      <c r="D239" t="s">
        <v>23</v>
      </c>
      <c r="E239">
        <v>220427</v>
      </c>
      <c r="F239">
        <v>4634346</v>
      </c>
      <c r="G239">
        <v>4.76</v>
      </c>
    </row>
    <row r="240" spans="1:7" x14ac:dyDescent="0.45">
      <c r="A240" t="s">
        <v>11</v>
      </c>
      <c r="B240">
        <v>2017</v>
      </c>
      <c r="C240" s="1">
        <v>43988</v>
      </c>
      <c r="D240" t="s">
        <v>23</v>
      </c>
      <c r="E240">
        <v>167489</v>
      </c>
      <c r="F240">
        <v>3015481</v>
      </c>
      <c r="G240">
        <v>5.55</v>
      </c>
    </row>
    <row r="241" spans="1:7" x14ac:dyDescent="0.45">
      <c r="A241" t="s">
        <v>12</v>
      </c>
      <c r="B241">
        <v>2017</v>
      </c>
      <c r="C241" s="1">
        <v>43988</v>
      </c>
      <c r="D241" t="s">
        <v>23</v>
      </c>
      <c r="E241">
        <v>735562</v>
      </c>
      <c r="F241">
        <v>17722275</v>
      </c>
      <c r="G241">
        <v>4.1500000000000004</v>
      </c>
    </row>
    <row r="242" spans="1:7" x14ac:dyDescent="0.45">
      <c r="A242" t="s">
        <v>13</v>
      </c>
      <c r="B242">
        <v>2017</v>
      </c>
      <c r="C242" s="1">
        <v>43988</v>
      </c>
      <c r="D242" t="s">
        <v>23</v>
      </c>
      <c r="E242">
        <v>449843</v>
      </c>
      <c r="F242">
        <v>10556100</v>
      </c>
      <c r="G242">
        <v>4.26</v>
      </c>
    </row>
    <row r="243" spans="1:7" x14ac:dyDescent="0.45">
      <c r="A243" t="s">
        <v>15</v>
      </c>
      <c r="B243">
        <v>2017</v>
      </c>
      <c r="C243" s="1">
        <v>43988</v>
      </c>
      <c r="D243" t="s">
        <v>23</v>
      </c>
      <c r="E243">
        <v>68487</v>
      </c>
      <c r="F243">
        <v>3670568</v>
      </c>
      <c r="G243">
        <v>1.87</v>
      </c>
    </row>
    <row r="244" spans="1:7" x14ac:dyDescent="0.45">
      <c r="A244" t="s">
        <v>16</v>
      </c>
      <c r="B244">
        <v>2017</v>
      </c>
      <c r="C244" s="1">
        <v>43988</v>
      </c>
      <c r="D244" t="s">
        <v>23</v>
      </c>
      <c r="E244">
        <v>110536</v>
      </c>
      <c r="F244">
        <v>3807282</v>
      </c>
      <c r="G244">
        <v>2.9</v>
      </c>
    </row>
    <row r="245" spans="1:7" x14ac:dyDescent="0.45">
      <c r="A245" t="s">
        <v>17</v>
      </c>
      <c r="B245">
        <v>2017</v>
      </c>
      <c r="C245" s="1">
        <v>43988</v>
      </c>
      <c r="D245" t="s">
        <v>23</v>
      </c>
      <c r="E245">
        <v>422090</v>
      </c>
      <c r="F245">
        <v>5815595</v>
      </c>
      <c r="G245">
        <v>7.26</v>
      </c>
    </row>
    <row r="246" spans="1:7" x14ac:dyDescent="0.45">
      <c r="A246" t="s">
        <v>18</v>
      </c>
      <c r="B246">
        <v>2017</v>
      </c>
      <c r="C246" s="1">
        <v>43988</v>
      </c>
      <c r="D246" t="s">
        <v>23</v>
      </c>
      <c r="E246">
        <v>183374</v>
      </c>
      <c r="F246">
        <v>5037634</v>
      </c>
      <c r="G246">
        <v>3.64</v>
      </c>
    </row>
    <row r="247" spans="1:7" x14ac:dyDescent="0.45">
      <c r="A247" t="s">
        <v>19</v>
      </c>
      <c r="B247">
        <v>2017</v>
      </c>
      <c r="C247" s="1">
        <v>43988</v>
      </c>
      <c r="D247" t="s">
        <v>23</v>
      </c>
      <c r="E247">
        <v>15844</v>
      </c>
      <c r="F247">
        <v>613251</v>
      </c>
      <c r="G247">
        <v>2.58</v>
      </c>
    </row>
    <row r="248" spans="1:7" x14ac:dyDescent="0.45">
      <c r="A248" t="s">
        <v>24</v>
      </c>
      <c r="B248">
        <v>2017</v>
      </c>
      <c r="C248" s="1">
        <v>43988</v>
      </c>
      <c r="D248" t="s">
        <v>23</v>
      </c>
      <c r="E248">
        <v>163274</v>
      </c>
      <c r="F248">
        <v>3468412</v>
      </c>
      <c r="G248">
        <v>4.71</v>
      </c>
    </row>
    <row r="249" spans="1:7" x14ac:dyDescent="0.45">
      <c r="A249" t="s">
        <v>20</v>
      </c>
      <c r="B249">
        <v>2017</v>
      </c>
      <c r="C249" s="1">
        <v>43988</v>
      </c>
      <c r="D249" t="s">
        <v>23</v>
      </c>
      <c r="E249">
        <v>646676</v>
      </c>
      <c r="F249">
        <v>22572383</v>
      </c>
      <c r="G249">
        <v>2.86</v>
      </c>
    </row>
    <row r="250" spans="1:7" x14ac:dyDescent="0.45">
      <c r="A250" t="s">
        <v>21</v>
      </c>
      <c r="B250">
        <v>2017</v>
      </c>
      <c r="C250" s="1">
        <v>43988</v>
      </c>
      <c r="D250" t="s">
        <v>23</v>
      </c>
      <c r="E250">
        <v>297084</v>
      </c>
      <c r="F250">
        <v>7015247</v>
      </c>
      <c r="G250">
        <v>4.2300000000000004</v>
      </c>
    </row>
    <row r="251" spans="1:7" x14ac:dyDescent="0.45">
      <c r="A251" t="s">
        <v>22</v>
      </c>
      <c r="B251">
        <v>2017</v>
      </c>
      <c r="C251" s="1">
        <v>43988</v>
      </c>
      <c r="D251" t="s">
        <v>23</v>
      </c>
      <c r="E251">
        <v>167208</v>
      </c>
      <c r="F251">
        <v>4805415</v>
      </c>
      <c r="G251">
        <v>3.48</v>
      </c>
    </row>
    <row r="252" spans="1:7" x14ac:dyDescent="0.45">
      <c r="A252" t="s">
        <v>7</v>
      </c>
      <c r="B252">
        <v>2017</v>
      </c>
      <c r="C252" s="1">
        <v>43988</v>
      </c>
      <c r="D252" t="s">
        <v>25</v>
      </c>
      <c r="E252">
        <v>73304</v>
      </c>
      <c r="F252">
        <v>593378</v>
      </c>
      <c r="G252">
        <v>12.35</v>
      </c>
    </row>
    <row r="253" spans="1:7" x14ac:dyDescent="0.45">
      <c r="A253" t="s">
        <v>9</v>
      </c>
      <c r="B253">
        <v>2017</v>
      </c>
      <c r="C253" s="1">
        <v>43988</v>
      </c>
      <c r="D253" t="s">
        <v>25</v>
      </c>
      <c r="E253">
        <v>219354</v>
      </c>
      <c r="F253">
        <v>2455022</v>
      </c>
      <c r="G253">
        <v>8.93</v>
      </c>
    </row>
    <row r="254" spans="1:7" x14ac:dyDescent="0.45">
      <c r="A254" t="s">
        <v>10</v>
      </c>
      <c r="B254">
        <v>2017</v>
      </c>
      <c r="C254" s="1">
        <v>43988</v>
      </c>
      <c r="D254" t="s">
        <v>25</v>
      </c>
      <c r="E254">
        <v>561407</v>
      </c>
      <c r="F254">
        <v>4634346</v>
      </c>
      <c r="G254">
        <v>12.11</v>
      </c>
    </row>
    <row r="255" spans="1:7" x14ac:dyDescent="0.45">
      <c r="A255" t="s">
        <v>11</v>
      </c>
      <c r="B255">
        <v>2017</v>
      </c>
      <c r="C255" s="1">
        <v>43988</v>
      </c>
      <c r="D255" t="s">
        <v>25</v>
      </c>
      <c r="E255">
        <v>267892</v>
      </c>
      <c r="F255">
        <v>3015481</v>
      </c>
      <c r="G255">
        <v>8.8800000000000008</v>
      </c>
    </row>
    <row r="256" spans="1:7" x14ac:dyDescent="0.45">
      <c r="A256" t="s">
        <v>12</v>
      </c>
      <c r="B256">
        <v>2017</v>
      </c>
      <c r="C256" s="1">
        <v>43988</v>
      </c>
      <c r="D256" t="s">
        <v>25</v>
      </c>
      <c r="E256">
        <v>1643452</v>
      </c>
      <c r="F256">
        <v>17722275</v>
      </c>
      <c r="G256">
        <v>9.27</v>
      </c>
    </row>
    <row r="257" spans="1:7" x14ac:dyDescent="0.45">
      <c r="A257" t="s">
        <v>13</v>
      </c>
      <c r="B257">
        <v>2017</v>
      </c>
      <c r="C257" s="1">
        <v>43988</v>
      </c>
      <c r="D257" t="s">
        <v>25</v>
      </c>
      <c r="E257">
        <v>1258559</v>
      </c>
      <c r="F257">
        <v>10556100</v>
      </c>
      <c r="G257">
        <v>11.92</v>
      </c>
    </row>
    <row r="258" spans="1:7" x14ac:dyDescent="0.45">
      <c r="A258" t="s">
        <v>14</v>
      </c>
      <c r="B258">
        <v>2017</v>
      </c>
      <c r="C258" s="1">
        <v>43988</v>
      </c>
      <c r="D258" t="s">
        <v>25</v>
      </c>
      <c r="E258">
        <v>208317</v>
      </c>
      <c r="F258">
        <v>2356231</v>
      </c>
      <c r="G258">
        <v>8.84</v>
      </c>
    </row>
    <row r="259" spans="1:7" x14ac:dyDescent="0.45">
      <c r="A259" t="s">
        <v>15</v>
      </c>
      <c r="B259">
        <v>2017</v>
      </c>
      <c r="C259" s="1">
        <v>43988</v>
      </c>
      <c r="D259" t="s">
        <v>25</v>
      </c>
      <c r="E259">
        <v>322695</v>
      </c>
      <c r="F259">
        <v>3670568</v>
      </c>
      <c r="G259">
        <v>8.7899999999999991</v>
      </c>
    </row>
    <row r="260" spans="1:7" x14ac:dyDescent="0.45">
      <c r="A260" t="s">
        <v>17</v>
      </c>
      <c r="B260">
        <v>2017</v>
      </c>
      <c r="C260" s="1">
        <v>43988</v>
      </c>
      <c r="D260" t="s">
        <v>25</v>
      </c>
      <c r="E260">
        <v>571557</v>
      </c>
      <c r="F260">
        <v>5815595</v>
      </c>
      <c r="G260">
        <v>9.83</v>
      </c>
    </row>
    <row r="261" spans="1:7" x14ac:dyDescent="0.45">
      <c r="A261" t="s">
        <v>18</v>
      </c>
      <c r="B261">
        <v>2017</v>
      </c>
      <c r="C261" s="1">
        <v>43988</v>
      </c>
      <c r="D261" t="s">
        <v>25</v>
      </c>
      <c r="E261">
        <v>545753</v>
      </c>
      <c r="F261">
        <v>5037634</v>
      </c>
      <c r="G261">
        <v>10.83</v>
      </c>
    </row>
    <row r="262" spans="1:7" x14ac:dyDescent="0.45">
      <c r="A262" t="s">
        <v>19</v>
      </c>
      <c r="B262">
        <v>2017</v>
      </c>
      <c r="C262" s="1">
        <v>43988</v>
      </c>
      <c r="D262" t="s">
        <v>25</v>
      </c>
      <c r="E262">
        <v>101851</v>
      </c>
      <c r="F262">
        <v>613251</v>
      </c>
      <c r="G262">
        <v>16.61</v>
      </c>
    </row>
    <row r="263" spans="1:7" x14ac:dyDescent="0.45">
      <c r="A263" t="s">
        <v>24</v>
      </c>
      <c r="B263">
        <v>2017</v>
      </c>
      <c r="C263" s="1">
        <v>43988</v>
      </c>
      <c r="D263" t="s">
        <v>25</v>
      </c>
      <c r="E263">
        <v>401254</v>
      </c>
      <c r="F263">
        <v>3468412</v>
      </c>
      <c r="G263">
        <v>11.57</v>
      </c>
    </row>
    <row r="264" spans="1:7" x14ac:dyDescent="0.45">
      <c r="A264" t="s">
        <v>20</v>
      </c>
      <c r="B264">
        <v>2017</v>
      </c>
      <c r="C264" s="1">
        <v>43988</v>
      </c>
      <c r="D264" t="s">
        <v>25</v>
      </c>
      <c r="E264">
        <v>2809416</v>
      </c>
      <c r="F264">
        <v>22572383</v>
      </c>
      <c r="G264">
        <v>12.45</v>
      </c>
    </row>
    <row r="265" spans="1:7" x14ac:dyDescent="0.45">
      <c r="A265" t="s">
        <v>21</v>
      </c>
      <c r="B265">
        <v>2017</v>
      </c>
      <c r="C265" s="1">
        <v>43988</v>
      </c>
      <c r="D265" t="s">
        <v>25</v>
      </c>
      <c r="E265">
        <v>678699</v>
      </c>
      <c r="F265">
        <v>7015247</v>
      </c>
      <c r="G265">
        <v>9.67</v>
      </c>
    </row>
    <row r="266" spans="1:7" x14ac:dyDescent="0.45">
      <c r="A266" t="s">
        <v>7</v>
      </c>
      <c r="B266">
        <v>2017</v>
      </c>
      <c r="C266" s="1">
        <v>44019</v>
      </c>
      <c r="D266" t="s">
        <v>8</v>
      </c>
      <c r="E266">
        <v>61279</v>
      </c>
      <c r="F266">
        <v>593378</v>
      </c>
      <c r="G266">
        <v>10.33</v>
      </c>
    </row>
    <row r="267" spans="1:7" x14ac:dyDescent="0.45">
      <c r="A267" t="s">
        <v>9</v>
      </c>
      <c r="B267">
        <v>2017</v>
      </c>
      <c r="C267" s="1">
        <v>44019</v>
      </c>
      <c r="D267" t="s">
        <v>8</v>
      </c>
      <c r="E267">
        <v>158511</v>
      </c>
      <c r="F267">
        <v>2455022</v>
      </c>
      <c r="G267">
        <v>6.46</v>
      </c>
    </row>
    <row r="268" spans="1:7" x14ac:dyDescent="0.45">
      <c r="A268" t="s">
        <v>10</v>
      </c>
      <c r="B268">
        <v>2017</v>
      </c>
      <c r="C268" s="1">
        <v>44019</v>
      </c>
      <c r="D268" t="s">
        <v>8</v>
      </c>
      <c r="E268">
        <v>383797</v>
      </c>
      <c r="F268">
        <v>4634346</v>
      </c>
      <c r="G268">
        <v>8.2799999999999994</v>
      </c>
    </row>
    <row r="269" spans="1:7" x14ac:dyDescent="0.45">
      <c r="A269" t="s">
        <v>11</v>
      </c>
      <c r="B269">
        <v>2017</v>
      </c>
      <c r="C269" s="1">
        <v>44019</v>
      </c>
      <c r="D269" t="s">
        <v>8</v>
      </c>
      <c r="E269">
        <v>235901</v>
      </c>
      <c r="F269">
        <v>3015481</v>
      </c>
      <c r="G269">
        <v>7.82</v>
      </c>
    </row>
    <row r="270" spans="1:7" x14ac:dyDescent="0.45">
      <c r="A270" t="s">
        <v>12</v>
      </c>
      <c r="B270">
        <v>2017</v>
      </c>
      <c r="C270" s="1">
        <v>44019</v>
      </c>
      <c r="D270" t="s">
        <v>8</v>
      </c>
      <c r="E270">
        <v>1116694</v>
      </c>
      <c r="F270">
        <v>17722275</v>
      </c>
      <c r="G270">
        <v>6.3</v>
      </c>
    </row>
    <row r="271" spans="1:7" x14ac:dyDescent="0.45">
      <c r="A271" t="s">
        <v>13</v>
      </c>
      <c r="B271">
        <v>2017</v>
      </c>
      <c r="C271" s="1">
        <v>44019</v>
      </c>
      <c r="D271" t="s">
        <v>8</v>
      </c>
      <c r="E271">
        <v>511665</v>
      </c>
      <c r="F271">
        <v>10556100</v>
      </c>
      <c r="G271">
        <v>4.8499999999999996</v>
      </c>
    </row>
    <row r="272" spans="1:7" x14ac:dyDescent="0.45">
      <c r="A272" t="s">
        <v>14</v>
      </c>
      <c r="B272">
        <v>2017</v>
      </c>
      <c r="C272" s="1">
        <v>44019</v>
      </c>
      <c r="D272" t="s">
        <v>8</v>
      </c>
      <c r="E272">
        <v>186782</v>
      </c>
      <c r="F272">
        <v>2356231</v>
      </c>
      <c r="G272">
        <v>7.93</v>
      </c>
    </row>
    <row r="273" spans="1:7" x14ac:dyDescent="0.45">
      <c r="A273" t="s">
        <v>15</v>
      </c>
      <c r="B273">
        <v>2017</v>
      </c>
      <c r="C273" s="1">
        <v>44019</v>
      </c>
      <c r="D273" t="s">
        <v>8</v>
      </c>
      <c r="E273">
        <v>283521</v>
      </c>
      <c r="F273">
        <v>3670568</v>
      </c>
      <c r="G273">
        <v>7.72</v>
      </c>
    </row>
    <row r="274" spans="1:7" x14ac:dyDescent="0.45">
      <c r="A274" t="s">
        <v>16</v>
      </c>
      <c r="B274">
        <v>2017</v>
      </c>
      <c r="C274" s="1">
        <v>44019</v>
      </c>
      <c r="D274" t="s">
        <v>8</v>
      </c>
      <c r="E274">
        <v>261823</v>
      </c>
      <c r="F274">
        <v>3807282</v>
      </c>
      <c r="G274">
        <v>6.88</v>
      </c>
    </row>
    <row r="275" spans="1:7" x14ac:dyDescent="0.45">
      <c r="A275" t="s">
        <v>17</v>
      </c>
      <c r="B275">
        <v>2017</v>
      </c>
      <c r="C275" s="1">
        <v>44019</v>
      </c>
      <c r="D275" t="s">
        <v>8</v>
      </c>
      <c r="E275">
        <v>343377</v>
      </c>
      <c r="F275">
        <v>5815595</v>
      </c>
      <c r="G275">
        <v>5.9</v>
      </c>
    </row>
    <row r="276" spans="1:7" x14ac:dyDescent="0.45">
      <c r="A276" t="s">
        <v>18</v>
      </c>
      <c r="B276">
        <v>2017</v>
      </c>
      <c r="C276" s="1">
        <v>44019</v>
      </c>
      <c r="D276" t="s">
        <v>8</v>
      </c>
      <c r="E276">
        <v>363582</v>
      </c>
      <c r="F276">
        <v>5037634</v>
      </c>
      <c r="G276">
        <v>7.22</v>
      </c>
    </row>
    <row r="277" spans="1:7" x14ac:dyDescent="0.45">
      <c r="A277" t="s">
        <v>19</v>
      </c>
      <c r="B277">
        <v>2017</v>
      </c>
      <c r="C277" s="1">
        <v>44019</v>
      </c>
      <c r="D277" t="s">
        <v>8</v>
      </c>
      <c r="E277">
        <v>63621</v>
      </c>
      <c r="F277">
        <v>613251</v>
      </c>
      <c r="G277">
        <v>10.37</v>
      </c>
    </row>
    <row r="278" spans="1:7" x14ac:dyDescent="0.45">
      <c r="A278" t="s">
        <v>20</v>
      </c>
      <c r="B278">
        <v>2017</v>
      </c>
      <c r="C278" s="1">
        <v>44019</v>
      </c>
      <c r="D278" t="s">
        <v>8</v>
      </c>
      <c r="E278">
        <v>1379418</v>
      </c>
      <c r="F278">
        <v>22572383</v>
      </c>
      <c r="G278">
        <v>6.11</v>
      </c>
    </row>
    <row r="279" spans="1:7" x14ac:dyDescent="0.45">
      <c r="A279" t="s">
        <v>21</v>
      </c>
      <c r="B279">
        <v>2017</v>
      </c>
      <c r="C279" s="1">
        <v>44019</v>
      </c>
      <c r="D279" t="s">
        <v>8</v>
      </c>
      <c r="E279">
        <v>390519</v>
      </c>
      <c r="F279">
        <v>7015247</v>
      </c>
      <c r="G279">
        <v>5.57</v>
      </c>
    </row>
    <row r="280" spans="1:7" x14ac:dyDescent="0.45">
      <c r="A280" t="s">
        <v>22</v>
      </c>
      <c r="B280">
        <v>2017</v>
      </c>
      <c r="C280" s="1">
        <v>44019</v>
      </c>
      <c r="D280" t="s">
        <v>8</v>
      </c>
      <c r="E280">
        <v>633166</v>
      </c>
      <c r="F280">
        <v>4805415</v>
      </c>
      <c r="G280">
        <v>13.18</v>
      </c>
    </row>
    <row r="281" spans="1:7" x14ac:dyDescent="0.45">
      <c r="A281" t="s">
        <v>7</v>
      </c>
      <c r="B281">
        <v>2017</v>
      </c>
      <c r="C281" s="1">
        <v>44019</v>
      </c>
      <c r="D281" t="s">
        <v>23</v>
      </c>
      <c r="E281">
        <v>27565</v>
      </c>
      <c r="F281">
        <v>593378</v>
      </c>
      <c r="G281">
        <v>4.6500000000000004</v>
      </c>
    </row>
    <row r="282" spans="1:7" x14ac:dyDescent="0.45">
      <c r="A282" t="s">
        <v>9</v>
      </c>
      <c r="B282">
        <v>2017</v>
      </c>
      <c r="C282" s="1">
        <v>44019</v>
      </c>
      <c r="D282" t="s">
        <v>23</v>
      </c>
      <c r="E282">
        <v>47161</v>
      </c>
      <c r="F282">
        <v>2455022</v>
      </c>
      <c r="G282">
        <v>1.92</v>
      </c>
    </row>
    <row r="283" spans="1:7" x14ac:dyDescent="0.45">
      <c r="A283" t="s">
        <v>10</v>
      </c>
      <c r="B283">
        <v>2017</v>
      </c>
      <c r="C283" s="1">
        <v>44019</v>
      </c>
      <c r="D283" t="s">
        <v>23</v>
      </c>
      <c r="E283">
        <v>172350</v>
      </c>
      <c r="F283">
        <v>4634346</v>
      </c>
      <c r="G283">
        <v>3.72</v>
      </c>
    </row>
    <row r="284" spans="1:7" x14ac:dyDescent="0.45">
      <c r="A284" t="s">
        <v>11</v>
      </c>
      <c r="B284">
        <v>2017</v>
      </c>
      <c r="C284" s="1">
        <v>44019</v>
      </c>
      <c r="D284" t="s">
        <v>23</v>
      </c>
      <c r="E284">
        <v>142408</v>
      </c>
      <c r="F284">
        <v>3015481</v>
      </c>
      <c r="G284">
        <v>4.72</v>
      </c>
    </row>
    <row r="285" spans="1:7" x14ac:dyDescent="0.45">
      <c r="A285" t="s">
        <v>12</v>
      </c>
      <c r="B285">
        <v>2017</v>
      </c>
      <c r="C285" s="1">
        <v>44019</v>
      </c>
      <c r="D285" t="s">
        <v>23</v>
      </c>
      <c r="E285">
        <v>568624</v>
      </c>
      <c r="F285">
        <v>17722275</v>
      </c>
      <c r="G285">
        <v>3.21</v>
      </c>
    </row>
    <row r="286" spans="1:7" x14ac:dyDescent="0.45">
      <c r="A286" t="s">
        <v>13</v>
      </c>
      <c r="B286">
        <v>2017</v>
      </c>
      <c r="C286" s="1">
        <v>44019</v>
      </c>
      <c r="D286" t="s">
        <v>23</v>
      </c>
      <c r="E286">
        <v>313436</v>
      </c>
      <c r="F286">
        <v>10556100</v>
      </c>
      <c r="G286">
        <v>2.97</v>
      </c>
    </row>
    <row r="287" spans="1:7" x14ac:dyDescent="0.45">
      <c r="A287" t="s">
        <v>15</v>
      </c>
      <c r="B287">
        <v>2017</v>
      </c>
      <c r="C287" s="1">
        <v>44019</v>
      </c>
      <c r="D287" t="s">
        <v>23</v>
      </c>
      <c r="E287">
        <v>69670</v>
      </c>
      <c r="F287">
        <v>3670568</v>
      </c>
      <c r="G287">
        <v>1.9</v>
      </c>
    </row>
    <row r="288" spans="1:7" x14ac:dyDescent="0.45">
      <c r="A288" t="s">
        <v>16</v>
      </c>
      <c r="B288">
        <v>2017</v>
      </c>
      <c r="C288" s="1">
        <v>44019</v>
      </c>
      <c r="D288" t="s">
        <v>23</v>
      </c>
      <c r="E288">
        <v>85608</v>
      </c>
      <c r="F288">
        <v>3807282</v>
      </c>
      <c r="G288">
        <v>2.25</v>
      </c>
    </row>
    <row r="289" spans="1:7" x14ac:dyDescent="0.45">
      <c r="A289" t="s">
        <v>17</v>
      </c>
      <c r="B289">
        <v>2017</v>
      </c>
      <c r="C289" s="1">
        <v>44019</v>
      </c>
      <c r="D289" t="s">
        <v>23</v>
      </c>
      <c r="E289">
        <v>238136</v>
      </c>
      <c r="F289">
        <v>5815595</v>
      </c>
      <c r="G289">
        <v>4.09</v>
      </c>
    </row>
    <row r="290" spans="1:7" x14ac:dyDescent="0.45">
      <c r="A290" t="s">
        <v>18</v>
      </c>
      <c r="B290">
        <v>2017</v>
      </c>
      <c r="C290" s="1">
        <v>44019</v>
      </c>
      <c r="D290" t="s">
        <v>23</v>
      </c>
      <c r="E290">
        <v>131632</v>
      </c>
      <c r="F290">
        <v>5037634</v>
      </c>
      <c r="G290">
        <v>2.61</v>
      </c>
    </row>
    <row r="291" spans="1:7" x14ac:dyDescent="0.45">
      <c r="A291" t="s">
        <v>19</v>
      </c>
      <c r="B291">
        <v>2017</v>
      </c>
      <c r="C291" s="1">
        <v>44019</v>
      </c>
      <c r="D291" t="s">
        <v>23</v>
      </c>
      <c r="E291">
        <v>14000</v>
      </c>
      <c r="F291">
        <v>613251</v>
      </c>
      <c r="G291">
        <v>2.2799999999999998</v>
      </c>
    </row>
    <row r="292" spans="1:7" x14ac:dyDescent="0.45">
      <c r="A292" t="s">
        <v>24</v>
      </c>
      <c r="B292">
        <v>2017</v>
      </c>
      <c r="C292" s="1">
        <v>44019</v>
      </c>
      <c r="D292" t="s">
        <v>23</v>
      </c>
      <c r="E292">
        <v>192560</v>
      </c>
      <c r="F292">
        <v>3468412</v>
      </c>
      <c r="G292">
        <v>5.55</v>
      </c>
    </row>
    <row r="293" spans="1:7" x14ac:dyDescent="0.45">
      <c r="A293" t="s">
        <v>20</v>
      </c>
      <c r="B293">
        <v>2017</v>
      </c>
      <c r="C293" s="1">
        <v>44019</v>
      </c>
      <c r="D293" t="s">
        <v>23</v>
      </c>
      <c r="E293">
        <v>658789</v>
      </c>
      <c r="F293">
        <v>22572383</v>
      </c>
      <c r="G293">
        <v>2.92</v>
      </c>
    </row>
    <row r="294" spans="1:7" x14ac:dyDescent="0.45">
      <c r="A294" t="s">
        <v>21</v>
      </c>
      <c r="B294">
        <v>2017</v>
      </c>
      <c r="C294" s="1">
        <v>44019</v>
      </c>
      <c r="D294" t="s">
        <v>23</v>
      </c>
      <c r="E294">
        <v>259942</v>
      </c>
      <c r="F294">
        <v>7015247</v>
      </c>
      <c r="G294">
        <v>3.71</v>
      </c>
    </row>
    <row r="295" spans="1:7" x14ac:dyDescent="0.45">
      <c r="A295" t="s">
        <v>22</v>
      </c>
      <c r="B295">
        <v>2017</v>
      </c>
      <c r="C295" s="1">
        <v>44019</v>
      </c>
      <c r="D295" t="s">
        <v>23</v>
      </c>
      <c r="E295">
        <v>174505</v>
      </c>
      <c r="F295">
        <v>4805415</v>
      </c>
      <c r="G295">
        <v>3.63</v>
      </c>
    </row>
    <row r="296" spans="1:7" x14ac:dyDescent="0.45">
      <c r="A296" t="s">
        <v>7</v>
      </c>
      <c r="B296">
        <v>2017</v>
      </c>
      <c r="C296" s="1">
        <v>44019</v>
      </c>
      <c r="D296" t="s">
        <v>25</v>
      </c>
      <c r="E296">
        <v>63374</v>
      </c>
      <c r="F296">
        <v>593378</v>
      </c>
      <c r="G296">
        <v>10.68</v>
      </c>
    </row>
    <row r="297" spans="1:7" x14ac:dyDescent="0.45">
      <c r="A297" t="s">
        <v>9</v>
      </c>
      <c r="B297">
        <v>2017</v>
      </c>
      <c r="C297" s="1">
        <v>44019</v>
      </c>
      <c r="D297" t="s">
        <v>25</v>
      </c>
      <c r="E297">
        <v>219406</v>
      </c>
      <c r="F297">
        <v>2455022</v>
      </c>
      <c r="G297">
        <v>8.94</v>
      </c>
    </row>
    <row r="298" spans="1:7" x14ac:dyDescent="0.45">
      <c r="A298" t="s">
        <v>10</v>
      </c>
      <c r="B298">
        <v>2017</v>
      </c>
      <c r="C298" s="1">
        <v>44019</v>
      </c>
      <c r="D298" t="s">
        <v>25</v>
      </c>
      <c r="E298">
        <v>465644</v>
      </c>
      <c r="F298">
        <v>4634346</v>
      </c>
      <c r="G298">
        <v>10.050000000000001</v>
      </c>
    </row>
    <row r="299" spans="1:7" x14ac:dyDescent="0.45">
      <c r="A299" t="s">
        <v>11</v>
      </c>
      <c r="B299">
        <v>2017</v>
      </c>
      <c r="C299" s="1">
        <v>44019</v>
      </c>
      <c r="D299" t="s">
        <v>25</v>
      </c>
      <c r="E299">
        <v>222988</v>
      </c>
      <c r="F299">
        <v>3015481</v>
      </c>
      <c r="G299">
        <v>7.39</v>
      </c>
    </row>
    <row r="300" spans="1:7" x14ac:dyDescent="0.45">
      <c r="A300" t="s">
        <v>12</v>
      </c>
      <c r="B300">
        <v>2017</v>
      </c>
      <c r="C300" s="1">
        <v>44019</v>
      </c>
      <c r="D300" t="s">
        <v>25</v>
      </c>
      <c r="E300">
        <v>1457466</v>
      </c>
      <c r="F300">
        <v>17722275</v>
      </c>
      <c r="G300">
        <v>8.2200000000000006</v>
      </c>
    </row>
    <row r="301" spans="1:7" x14ac:dyDescent="0.45">
      <c r="A301" t="s">
        <v>13</v>
      </c>
      <c r="B301">
        <v>2017</v>
      </c>
      <c r="C301" s="1">
        <v>44019</v>
      </c>
      <c r="D301" t="s">
        <v>25</v>
      </c>
      <c r="E301">
        <v>962817</v>
      </c>
      <c r="F301">
        <v>10556100</v>
      </c>
      <c r="G301">
        <v>9.1199999999999992</v>
      </c>
    </row>
    <row r="302" spans="1:7" x14ac:dyDescent="0.45">
      <c r="A302" t="s">
        <v>14</v>
      </c>
      <c r="B302">
        <v>2017</v>
      </c>
      <c r="C302" s="1">
        <v>44019</v>
      </c>
      <c r="D302" t="s">
        <v>25</v>
      </c>
      <c r="E302">
        <v>257021</v>
      </c>
      <c r="F302">
        <v>2356231</v>
      </c>
      <c r="G302">
        <v>10.91</v>
      </c>
    </row>
    <row r="303" spans="1:7" x14ac:dyDescent="0.45">
      <c r="A303" t="s">
        <v>15</v>
      </c>
      <c r="B303">
        <v>2017</v>
      </c>
      <c r="C303" s="1">
        <v>44019</v>
      </c>
      <c r="D303" t="s">
        <v>25</v>
      </c>
      <c r="E303">
        <v>349029</v>
      </c>
      <c r="F303">
        <v>3670568</v>
      </c>
      <c r="G303">
        <v>9.51</v>
      </c>
    </row>
    <row r="304" spans="1:7" x14ac:dyDescent="0.45">
      <c r="A304" t="s">
        <v>17</v>
      </c>
      <c r="B304">
        <v>2017</v>
      </c>
      <c r="C304" s="1">
        <v>44019</v>
      </c>
      <c r="D304" t="s">
        <v>25</v>
      </c>
      <c r="E304">
        <v>487017</v>
      </c>
      <c r="F304">
        <v>5815595</v>
      </c>
      <c r="G304">
        <v>8.3699999999999992</v>
      </c>
    </row>
    <row r="305" spans="1:7" x14ac:dyDescent="0.45">
      <c r="A305" t="s">
        <v>18</v>
      </c>
      <c r="B305">
        <v>2017</v>
      </c>
      <c r="C305" s="1">
        <v>44019</v>
      </c>
      <c r="D305" t="s">
        <v>25</v>
      </c>
      <c r="E305">
        <v>495023</v>
      </c>
      <c r="F305">
        <v>5037634</v>
      </c>
      <c r="G305">
        <v>9.83</v>
      </c>
    </row>
    <row r="306" spans="1:7" x14ac:dyDescent="0.45">
      <c r="A306" t="s">
        <v>19</v>
      </c>
      <c r="B306">
        <v>2017</v>
      </c>
      <c r="C306" s="1">
        <v>44019</v>
      </c>
      <c r="D306" t="s">
        <v>25</v>
      </c>
      <c r="E306">
        <v>83567</v>
      </c>
      <c r="F306">
        <v>613251</v>
      </c>
      <c r="G306">
        <v>13.63</v>
      </c>
    </row>
    <row r="307" spans="1:7" x14ac:dyDescent="0.45">
      <c r="A307" t="s">
        <v>24</v>
      </c>
      <c r="B307">
        <v>2017</v>
      </c>
      <c r="C307" s="1">
        <v>44019</v>
      </c>
      <c r="D307" t="s">
        <v>25</v>
      </c>
      <c r="E307">
        <v>439054</v>
      </c>
      <c r="F307">
        <v>3468412</v>
      </c>
      <c r="G307">
        <v>12.66</v>
      </c>
    </row>
    <row r="308" spans="1:7" x14ac:dyDescent="0.45">
      <c r="A308" t="s">
        <v>20</v>
      </c>
      <c r="B308">
        <v>2017</v>
      </c>
      <c r="C308" s="1">
        <v>44019</v>
      </c>
      <c r="D308" t="s">
        <v>25</v>
      </c>
      <c r="E308">
        <v>2710401</v>
      </c>
      <c r="F308">
        <v>22572383</v>
      </c>
      <c r="G308">
        <v>12.01</v>
      </c>
    </row>
    <row r="309" spans="1:7" x14ac:dyDescent="0.45">
      <c r="A309" t="s">
        <v>21</v>
      </c>
      <c r="B309">
        <v>2017</v>
      </c>
      <c r="C309" s="1">
        <v>44019</v>
      </c>
      <c r="D309" t="s">
        <v>25</v>
      </c>
      <c r="E309">
        <v>568574</v>
      </c>
      <c r="F309">
        <v>7015247</v>
      </c>
      <c r="G309">
        <v>8.1</v>
      </c>
    </row>
    <row r="310" spans="1:7" x14ac:dyDescent="0.45">
      <c r="A310" t="s">
        <v>7</v>
      </c>
      <c r="B310">
        <v>2017</v>
      </c>
      <c r="C310" s="1">
        <v>44051</v>
      </c>
      <c r="D310" t="s">
        <v>8</v>
      </c>
      <c r="E310">
        <v>73012</v>
      </c>
      <c r="F310">
        <v>593378</v>
      </c>
      <c r="G310">
        <v>12.3</v>
      </c>
    </row>
    <row r="311" spans="1:7" x14ac:dyDescent="0.45">
      <c r="A311" t="s">
        <v>9</v>
      </c>
      <c r="B311">
        <v>2017</v>
      </c>
      <c r="C311" s="1">
        <v>44051</v>
      </c>
      <c r="D311" t="s">
        <v>8</v>
      </c>
      <c r="E311">
        <v>116702</v>
      </c>
      <c r="F311">
        <v>2455022</v>
      </c>
      <c r="G311">
        <v>4.75</v>
      </c>
    </row>
    <row r="312" spans="1:7" x14ac:dyDescent="0.45">
      <c r="A312" t="s">
        <v>10</v>
      </c>
      <c r="B312">
        <v>2017</v>
      </c>
      <c r="C312" s="1">
        <v>44051</v>
      </c>
      <c r="D312" t="s">
        <v>8</v>
      </c>
      <c r="E312">
        <v>494539</v>
      </c>
      <c r="F312">
        <v>4634346</v>
      </c>
      <c r="G312">
        <v>10.67</v>
      </c>
    </row>
    <row r="313" spans="1:7" x14ac:dyDescent="0.45">
      <c r="A313" t="s">
        <v>11</v>
      </c>
      <c r="B313">
        <v>2017</v>
      </c>
      <c r="C313" s="1">
        <v>44051</v>
      </c>
      <c r="D313" t="s">
        <v>8</v>
      </c>
      <c r="E313">
        <v>220835</v>
      </c>
      <c r="F313">
        <v>3015481</v>
      </c>
      <c r="G313">
        <v>7.32</v>
      </c>
    </row>
    <row r="314" spans="1:7" x14ac:dyDescent="0.45">
      <c r="A314" t="s">
        <v>12</v>
      </c>
      <c r="B314">
        <v>2017</v>
      </c>
      <c r="C314" s="1">
        <v>44051</v>
      </c>
      <c r="D314" t="s">
        <v>8</v>
      </c>
      <c r="E314">
        <v>1394408</v>
      </c>
      <c r="F314">
        <v>17722275</v>
      </c>
      <c r="G314">
        <v>7.87</v>
      </c>
    </row>
    <row r="315" spans="1:7" x14ac:dyDescent="0.45">
      <c r="A315" t="s">
        <v>13</v>
      </c>
      <c r="B315">
        <v>2017</v>
      </c>
      <c r="C315" s="1">
        <v>44051</v>
      </c>
      <c r="D315" t="s">
        <v>8</v>
      </c>
      <c r="E315">
        <v>752971</v>
      </c>
      <c r="F315">
        <v>10556100</v>
      </c>
      <c r="G315">
        <v>7.13</v>
      </c>
    </row>
    <row r="316" spans="1:7" x14ac:dyDescent="0.45">
      <c r="A316" t="s">
        <v>14</v>
      </c>
      <c r="B316">
        <v>2017</v>
      </c>
      <c r="C316" s="1">
        <v>44051</v>
      </c>
      <c r="D316" t="s">
        <v>8</v>
      </c>
      <c r="E316">
        <v>121346</v>
      </c>
      <c r="F316">
        <v>2356231</v>
      </c>
      <c r="G316">
        <v>5.15</v>
      </c>
    </row>
    <row r="317" spans="1:7" x14ac:dyDescent="0.45">
      <c r="A317" t="s">
        <v>15</v>
      </c>
      <c r="B317">
        <v>2017</v>
      </c>
      <c r="C317" s="1">
        <v>44051</v>
      </c>
      <c r="D317" t="s">
        <v>8</v>
      </c>
      <c r="E317">
        <v>221830</v>
      </c>
      <c r="F317">
        <v>3670568</v>
      </c>
      <c r="G317">
        <v>6.04</v>
      </c>
    </row>
    <row r="318" spans="1:7" x14ac:dyDescent="0.45">
      <c r="A318" t="s">
        <v>16</v>
      </c>
      <c r="B318">
        <v>2017</v>
      </c>
      <c r="C318" s="1">
        <v>44051</v>
      </c>
      <c r="D318" t="s">
        <v>8</v>
      </c>
      <c r="E318">
        <v>302515</v>
      </c>
      <c r="F318">
        <v>3807282</v>
      </c>
      <c r="G318">
        <v>7.95</v>
      </c>
    </row>
    <row r="319" spans="1:7" x14ac:dyDescent="0.45">
      <c r="A319" t="s">
        <v>17</v>
      </c>
      <c r="B319">
        <v>2017</v>
      </c>
      <c r="C319" s="1">
        <v>44051</v>
      </c>
      <c r="D319" t="s">
        <v>8</v>
      </c>
      <c r="E319">
        <v>443277</v>
      </c>
      <c r="F319">
        <v>5815595</v>
      </c>
      <c r="G319">
        <v>7.62</v>
      </c>
    </row>
    <row r="320" spans="1:7" x14ac:dyDescent="0.45">
      <c r="A320" t="s">
        <v>18</v>
      </c>
      <c r="B320">
        <v>2017</v>
      </c>
      <c r="C320" s="1">
        <v>44051</v>
      </c>
      <c r="D320" t="s">
        <v>8</v>
      </c>
      <c r="E320">
        <v>418433</v>
      </c>
      <c r="F320">
        <v>5037634</v>
      </c>
      <c r="G320">
        <v>8.31</v>
      </c>
    </row>
    <row r="321" spans="1:7" x14ac:dyDescent="0.45">
      <c r="A321" t="s">
        <v>19</v>
      </c>
      <c r="B321">
        <v>2017</v>
      </c>
      <c r="C321" s="1">
        <v>44051</v>
      </c>
      <c r="D321" t="s">
        <v>8</v>
      </c>
      <c r="E321">
        <v>68927</v>
      </c>
      <c r="F321">
        <v>613251</v>
      </c>
      <c r="G321">
        <v>11.24</v>
      </c>
    </row>
    <row r="322" spans="1:7" x14ac:dyDescent="0.45">
      <c r="A322" t="s">
        <v>20</v>
      </c>
      <c r="B322">
        <v>2017</v>
      </c>
      <c r="C322" s="1">
        <v>44051</v>
      </c>
      <c r="D322" t="s">
        <v>8</v>
      </c>
      <c r="E322">
        <v>1292062</v>
      </c>
      <c r="F322">
        <v>22572383</v>
      </c>
      <c r="G322">
        <v>5.72</v>
      </c>
    </row>
    <row r="323" spans="1:7" x14ac:dyDescent="0.45">
      <c r="A323" t="s">
        <v>21</v>
      </c>
      <c r="B323">
        <v>2017</v>
      </c>
      <c r="C323" s="1">
        <v>44051</v>
      </c>
      <c r="D323" t="s">
        <v>8</v>
      </c>
      <c r="E323">
        <v>386402</v>
      </c>
      <c r="F323">
        <v>7015247</v>
      </c>
      <c r="G323">
        <v>5.51</v>
      </c>
    </row>
    <row r="324" spans="1:7" x14ac:dyDescent="0.45">
      <c r="A324" t="s">
        <v>22</v>
      </c>
      <c r="B324">
        <v>2017</v>
      </c>
      <c r="C324" s="1">
        <v>44051</v>
      </c>
      <c r="D324" t="s">
        <v>8</v>
      </c>
      <c r="E324">
        <v>389960</v>
      </c>
      <c r="F324">
        <v>4805415</v>
      </c>
      <c r="G324">
        <v>8.1199999999999992</v>
      </c>
    </row>
    <row r="325" spans="1:7" x14ac:dyDescent="0.45">
      <c r="A325" t="s">
        <v>7</v>
      </c>
      <c r="B325">
        <v>2017</v>
      </c>
      <c r="C325" s="1">
        <v>44051</v>
      </c>
      <c r="D325" t="s">
        <v>23</v>
      </c>
      <c r="E325">
        <v>32067</v>
      </c>
      <c r="F325">
        <v>593378</v>
      </c>
      <c r="G325">
        <v>5.4</v>
      </c>
    </row>
    <row r="326" spans="1:7" x14ac:dyDescent="0.45">
      <c r="A326" t="s">
        <v>9</v>
      </c>
      <c r="B326">
        <v>2017</v>
      </c>
      <c r="C326" s="1">
        <v>44051</v>
      </c>
      <c r="D326" t="s">
        <v>23</v>
      </c>
      <c r="E326">
        <v>40599</v>
      </c>
      <c r="F326">
        <v>2455022</v>
      </c>
      <c r="G326">
        <v>1.65</v>
      </c>
    </row>
    <row r="327" spans="1:7" x14ac:dyDescent="0.45">
      <c r="A327" t="s">
        <v>10</v>
      </c>
      <c r="B327">
        <v>2017</v>
      </c>
      <c r="C327" s="1">
        <v>44051</v>
      </c>
      <c r="D327" t="s">
        <v>23</v>
      </c>
      <c r="E327">
        <v>218514</v>
      </c>
      <c r="F327">
        <v>4634346</v>
      </c>
      <c r="G327">
        <v>4.72</v>
      </c>
    </row>
    <row r="328" spans="1:7" x14ac:dyDescent="0.45">
      <c r="A328" t="s">
        <v>11</v>
      </c>
      <c r="B328">
        <v>2017</v>
      </c>
      <c r="C328" s="1">
        <v>44051</v>
      </c>
      <c r="D328" t="s">
        <v>23</v>
      </c>
      <c r="E328">
        <v>137931</v>
      </c>
      <c r="F328">
        <v>3015481</v>
      </c>
      <c r="G328">
        <v>4.57</v>
      </c>
    </row>
    <row r="329" spans="1:7" x14ac:dyDescent="0.45">
      <c r="A329" t="s">
        <v>12</v>
      </c>
      <c r="B329">
        <v>2017</v>
      </c>
      <c r="C329" s="1">
        <v>44051</v>
      </c>
      <c r="D329" t="s">
        <v>23</v>
      </c>
      <c r="E329">
        <v>754895</v>
      </c>
      <c r="F329">
        <v>17722275</v>
      </c>
      <c r="G329">
        <v>4.26</v>
      </c>
    </row>
    <row r="330" spans="1:7" x14ac:dyDescent="0.45">
      <c r="A330" t="s">
        <v>13</v>
      </c>
      <c r="B330">
        <v>2017</v>
      </c>
      <c r="C330" s="1">
        <v>44051</v>
      </c>
      <c r="D330" t="s">
        <v>23</v>
      </c>
      <c r="E330">
        <v>435978</v>
      </c>
      <c r="F330">
        <v>10556100</v>
      </c>
      <c r="G330">
        <v>4.13</v>
      </c>
    </row>
    <row r="331" spans="1:7" x14ac:dyDescent="0.45">
      <c r="A331" t="s">
        <v>15</v>
      </c>
      <c r="B331">
        <v>2017</v>
      </c>
      <c r="C331" s="1">
        <v>44051</v>
      </c>
      <c r="D331" t="s">
        <v>23</v>
      </c>
      <c r="E331">
        <v>54267</v>
      </c>
      <c r="F331">
        <v>3670568</v>
      </c>
      <c r="G331">
        <v>1.48</v>
      </c>
    </row>
    <row r="332" spans="1:7" x14ac:dyDescent="0.45">
      <c r="A332" t="s">
        <v>16</v>
      </c>
      <c r="B332">
        <v>2017</v>
      </c>
      <c r="C332" s="1">
        <v>44051</v>
      </c>
      <c r="D332" t="s">
        <v>23</v>
      </c>
      <c r="E332">
        <v>111839</v>
      </c>
      <c r="F332">
        <v>3807282</v>
      </c>
      <c r="G332">
        <v>2.94</v>
      </c>
    </row>
    <row r="333" spans="1:7" x14ac:dyDescent="0.45">
      <c r="A333" t="s">
        <v>17</v>
      </c>
      <c r="B333">
        <v>2017</v>
      </c>
      <c r="C333" s="1">
        <v>44051</v>
      </c>
      <c r="D333" t="s">
        <v>23</v>
      </c>
      <c r="E333">
        <v>301765</v>
      </c>
      <c r="F333">
        <v>5815595</v>
      </c>
      <c r="G333">
        <v>5.19</v>
      </c>
    </row>
    <row r="334" spans="1:7" x14ac:dyDescent="0.45">
      <c r="A334" t="s">
        <v>18</v>
      </c>
      <c r="B334">
        <v>2017</v>
      </c>
      <c r="C334" s="1">
        <v>44051</v>
      </c>
      <c r="D334" t="s">
        <v>23</v>
      </c>
      <c r="E334">
        <v>158865</v>
      </c>
      <c r="F334">
        <v>5037634</v>
      </c>
      <c r="G334">
        <v>3.15</v>
      </c>
    </row>
    <row r="335" spans="1:7" x14ac:dyDescent="0.45">
      <c r="A335" t="s">
        <v>19</v>
      </c>
      <c r="B335">
        <v>2017</v>
      </c>
      <c r="C335" s="1">
        <v>44051</v>
      </c>
      <c r="D335" t="s">
        <v>23</v>
      </c>
      <c r="E335">
        <v>16960</v>
      </c>
      <c r="F335">
        <v>613251</v>
      </c>
      <c r="G335">
        <v>2.77</v>
      </c>
    </row>
    <row r="336" spans="1:7" x14ac:dyDescent="0.45">
      <c r="A336" t="s">
        <v>24</v>
      </c>
      <c r="B336">
        <v>2017</v>
      </c>
      <c r="C336" s="1">
        <v>44051</v>
      </c>
      <c r="D336" t="s">
        <v>23</v>
      </c>
      <c r="E336">
        <v>148148</v>
      </c>
      <c r="F336">
        <v>3468412</v>
      </c>
      <c r="G336">
        <v>4.2699999999999996</v>
      </c>
    </row>
    <row r="337" spans="1:7" x14ac:dyDescent="0.45">
      <c r="A337" t="s">
        <v>20</v>
      </c>
      <c r="B337">
        <v>2017</v>
      </c>
      <c r="C337" s="1">
        <v>44051</v>
      </c>
      <c r="D337" t="s">
        <v>23</v>
      </c>
      <c r="E337">
        <v>646534</v>
      </c>
      <c r="F337">
        <v>22572383</v>
      </c>
      <c r="G337">
        <v>2.86</v>
      </c>
    </row>
    <row r="338" spans="1:7" x14ac:dyDescent="0.45">
      <c r="A338" t="s">
        <v>21</v>
      </c>
      <c r="B338">
        <v>2017</v>
      </c>
      <c r="C338" s="1">
        <v>44051</v>
      </c>
      <c r="D338" t="s">
        <v>23</v>
      </c>
      <c r="E338">
        <v>299326</v>
      </c>
      <c r="F338">
        <v>7015247</v>
      </c>
      <c r="G338">
        <v>4.2699999999999996</v>
      </c>
    </row>
    <row r="339" spans="1:7" x14ac:dyDescent="0.45">
      <c r="A339" t="s">
        <v>22</v>
      </c>
      <c r="B339">
        <v>2017</v>
      </c>
      <c r="C339" s="1">
        <v>44051</v>
      </c>
      <c r="D339" t="s">
        <v>23</v>
      </c>
      <c r="E339">
        <v>139021</v>
      </c>
      <c r="F339">
        <v>4805415</v>
      </c>
      <c r="G339">
        <v>2.89</v>
      </c>
    </row>
    <row r="340" spans="1:7" x14ac:dyDescent="0.45">
      <c r="A340" t="s">
        <v>7</v>
      </c>
      <c r="B340">
        <v>2017</v>
      </c>
      <c r="C340" s="1">
        <v>44051</v>
      </c>
      <c r="D340" t="s">
        <v>25</v>
      </c>
      <c r="E340">
        <v>73643</v>
      </c>
      <c r="F340">
        <v>593378</v>
      </c>
      <c r="G340">
        <v>12.41</v>
      </c>
    </row>
    <row r="341" spans="1:7" x14ac:dyDescent="0.45">
      <c r="A341" t="s">
        <v>9</v>
      </c>
      <c r="B341">
        <v>2017</v>
      </c>
      <c r="C341" s="1">
        <v>44051</v>
      </c>
      <c r="D341" t="s">
        <v>25</v>
      </c>
      <c r="E341">
        <v>200128</v>
      </c>
      <c r="F341">
        <v>2455022</v>
      </c>
      <c r="G341">
        <v>8.15</v>
      </c>
    </row>
    <row r="342" spans="1:7" x14ac:dyDescent="0.45">
      <c r="A342" t="s">
        <v>10</v>
      </c>
      <c r="B342">
        <v>2017</v>
      </c>
      <c r="C342" s="1">
        <v>44051</v>
      </c>
      <c r="D342" t="s">
        <v>25</v>
      </c>
      <c r="E342">
        <v>537962</v>
      </c>
      <c r="F342">
        <v>4634346</v>
      </c>
      <c r="G342">
        <v>11.61</v>
      </c>
    </row>
    <row r="343" spans="1:7" x14ac:dyDescent="0.45">
      <c r="A343" t="s">
        <v>11</v>
      </c>
      <c r="B343">
        <v>2017</v>
      </c>
      <c r="C343" s="1">
        <v>44051</v>
      </c>
      <c r="D343" t="s">
        <v>25</v>
      </c>
      <c r="E343">
        <v>256051</v>
      </c>
      <c r="F343">
        <v>3015481</v>
      </c>
      <c r="G343">
        <v>8.49</v>
      </c>
    </row>
    <row r="344" spans="1:7" x14ac:dyDescent="0.45">
      <c r="A344" t="s">
        <v>12</v>
      </c>
      <c r="B344">
        <v>2017</v>
      </c>
      <c r="C344" s="1">
        <v>44051</v>
      </c>
      <c r="D344" t="s">
        <v>25</v>
      </c>
      <c r="E344">
        <v>1712901</v>
      </c>
      <c r="F344">
        <v>17722275</v>
      </c>
      <c r="G344">
        <v>9.67</v>
      </c>
    </row>
    <row r="345" spans="1:7" x14ac:dyDescent="0.45">
      <c r="A345" t="s">
        <v>13</v>
      </c>
      <c r="B345">
        <v>2017</v>
      </c>
      <c r="C345" s="1">
        <v>44051</v>
      </c>
      <c r="D345" t="s">
        <v>25</v>
      </c>
      <c r="E345">
        <v>1201127</v>
      </c>
      <c r="F345">
        <v>10556100</v>
      </c>
      <c r="G345">
        <v>11.38</v>
      </c>
    </row>
    <row r="346" spans="1:7" x14ac:dyDescent="0.45">
      <c r="A346" t="s">
        <v>14</v>
      </c>
      <c r="B346">
        <v>2017</v>
      </c>
      <c r="C346" s="1">
        <v>44051</v>
      </c>
      <c r="D346" t="s">
        <v>25</v>
      </c>
      <c r="E346">
        <v>211730</v>
      </c>
      <c r="F346">
        <v>2356231</v>
      </c>
      <c r="G346">
        <v>8.99</v>
      </c>
    </row>
    <row r="347" spans="1:7" x14ac:dyDescent="0.45">
      <c r="A347" t="s">
        <v>15</v>
      </c>
      <c r="B347">
        <v>2017</v>
      </c>
      <c r="C347" s="1">
        <v>44051</v>
      </c>
      <c r="D347" t="s">
        <v>25</v>
      </c>
      <c r="E347">
        <v>285049</v>
      </c>
      <c r="F347">
        <v>3670568</v>
      </c>
      <c r="G347">
        <v>7.77</v>
      </c>
    </row>
    <row r="348" spans="1:7" x14ac:dyDescent="0.45">
      <c r="A348" t="s">
        <v>17</v>
      </c>
      <c r="B348">
        <v>2017</v>
      </c>
      <c r="C348" s="1">
        <v>44051</v>
      </c>
      <c r="D348" t="s">
        <v>25</v>
      </c>
      <c r="E348">
        <v>556807</v>
      </c>
      <c r="F348">
        <v>5815595</v>
      </c>
      <c r="G348">
        <v>9.57</v>
      </c>
    </row>
    <row r="349" spans="1:7" x14ac:dyDescent="0.45">
      <c r="A349" t="s">
        <v>18</v>
      </c>
      <c r="B349">
        <v>2017</v>
      </c>
      <c r="C349" s="1">
        <v>44051</v>
      </c>
      <c r="D349" t="s">
        <v>25</v>
      </c>
      <c r="E349">
        <v>545941</v>
      </c>
      <c r="F349">
        <v>5037634</v>
      </c>
      <c r="G349">
        <v>10.84</v>
      </c>
    </row>
    <row r="350" spans="1:7" x14ac:dyDescent="0.45">
      <c r="A350" t="s">
        <v>19</v>
      </c>
      <c r="B350">
        <v>2017</v>
      </c>
      <c r="C350" s="1">
        <v>44051</v>
      </c>
      <c r="D350" t="s">
        <v>25</v>
      </c>
      <c r="E350">
        <v>86030</v>
      </c>
      <c r="F350">
        <v>613251</v>
      </c>
      <c r="G350">
        <v>14.03</v>
      </c>
    </row>
    <row r="351" spans="1:7" x14ac:dyDescent="0.45">
      <c r="A351" t="s">
        <v>24</v>
      </c>
      <c r="B351">
        <v>2017</v>
      </c>
      <c r="C351" s="1">
        <v>44051</v>
      </c>
      <c r="D351" t="s">
        <v>25</v>
      </c>
      <c r="E351">
        <v>418496</v>
      </c>
      <c r="F351">
        <v>3468412</v>
      </c>
      <c r="G351">
        <v>12.07</v>
      </c>
    </row>
    <row r="352" spans="1:7" x14ac:dyDescent="0.45">
      <c r="A352" t="s">
        <v>20</v>
      </c>
      <c r="B352">
        <v>2017</v>
      </c>
      <c r="C352" s="1">
        <v>44051</v>
      </c>
      <c r="D352" t="s">
        <v>25</v>
      </c>
      <c r="E352">
        <v>2241990</v>
      </c>
      <c r="F352">
        <v>22572383</v>
      </c>
      <c r="G352">
        <v>9.93</v>
      </c>
    </row>
    <row r="353" spans="1:7" x14ac:dyDescent="0.45">
      <c r="A353" t="s">
        <v>21</v>
      </c>
      <c r="B353">
        <v>2017</v>
      </c>
      <c r="C353" s="1">
        <v>44051</v>
      </c>
      <c r="D353" t="s">
        <v>25</v>
      </c>
      <c r="E353">
        <v>657757</v>
      </c>
      <c r="F353">
        <v>7015247</v>
      </c>
      <c r="G353">
        <v>9.3800000000000008</v>
      </c>
    </row>
    <row r="354" spans="1:7" x14ac:dyDescent="0.45">
      <c r="A354" t="s">
        <v>7</v>
      </c>
      <c r="B354">
        <v>2017</v>
      </c>
      <c r="C354" s="1">
        <v>44083</v>
      </c>
      <c r="D354" t="s">
        <v>8</v>
      </c>
      <c r="E354">
        <v>59212</v>
      </c>
      <c r="F354">
        <v>593378</v>
      </c>
      <c r="G354">
        <v>9.98</v>
      </c>
    </row>
    <row r="355" spans="1:7" x14ac:dyDescent="0.45">
      <c r="A355" t="s">
        <v>9</v>
      </c>
      <c r="B355">
        <v>2017</v>
      </c>
      <c r="C355" s="1">
        <v>44083</v>
      </c>
      <c r="D355" t="s">
        <v>8</v>
      </c>
      <c r="E355">
        <v>151398</v>
      </c>
      <c r="F355">
        <v>2455022</v>
      </c>
      <c r="G355">
        <v>6.17</v>
      </c>
    </row>
    <row r="356" spans="1:7" x14ac:dyDescent="0.45">
      <c r="A356" t="s">
        <v>10</v>
      </c>
      <c r="B356">
        <v>2017</v>
      </c>
      <c r="C356" s="1">
        <v>44083</v>
      </c>
      <c r="D356" t="s">
        <v>8</v>
      </c>
      <c r="E356">
        <v>433628</v>
      </c>
      <c r="F356">
        <v>4634346</v>
      </c>
      <c r="G356">
        <v>9.36</v>
      </c>
    </row>
    <row r="357" spans="1:7" x14ac:dyDescent="0.45">
      <c r="A357" t="s">
        <v>11</v>
      </c>
      <c r="B357">
        <v>2017</v>
      </c>
      <c r="C357" s="1">
        <v>44083</v>
      </c>
      <c r="D357" t="s">
        <v>8</v>
      </c>
      <c r="E357">
        <v>223091</v>
      </c>
      <c r="F357">
        <v>3015481</v>
      </c>
      <c r="G357">
        <v>7.4</v>
      </c>
    </row>
    <row r="358" spans="1:7" x14ac:dyDescent="0.45">
      <c r="A358" t="s">
        <v>12</v>
      </c>
      <c r="B358">
        <v>2017</v>
      </c>
      <c r="C358" s="1">
        <v>44083</v>
      </c>
      <c r="D358" t="s">
        <v>8</v>
      </c>
      <c r="E358">
        <v>1153296</v>
      </c>
      <c r="F358">
        <v>17722275</v>
      </c>
      <c r="G358">
        <v>6.51</v>
      </c>
    </row>
    <row r="359" spans="1:7" x14ac:dyDescent="0.45">
      <c r="A359" t="s">
        <v>13</v>
      </c>
      <c r="B359">
        <v>2017</v>
      </c>
      <c r="C359" s="1">
        <v>44083</v>
      </c>
      <c r="D359" t="s">
        <v>8</v>
      </c>
      <c r="E359">
        <v>666299</v>
      </c>
      <c r="F359">
        <v>10556100</v>
      </c>
      <c r="G359">
        <v>6.31</v>
      </c>
    </row>
    <row r="360" spans="1:7" x14ac:dyDescent="0.45">
      <c r="A360" t="s">
        <v>14</v>
      </c>
      <c r="B360">
        <v>2017</v>
      </c>
      <c r="C360" s="1">
        <v>44083</v>
      </c>
      <c r="D360" t="s">
        <v>8</v>
      </c>
      <c r="E360">
        <v>159951</v>
      </c>
      <c r="F360">
        <v>2356231</v>
      </c>
      <c r="G360">
        <v>6.79</v>
      </c>
    </row>
    <row r="361" spans="1:7" x14ac:dyDescent="0.45">
      <c r="A361" t="s">
        <v>15</v>
      </c>
      <c r="B361">
        <v>2017</v>
      </c>
      <c r="C361" s="1">
        <v>44083</v>
      </c>
      <c r="D361" t="s">
        <v>8</v>
      </c>
      <c r="E361">
        <v>253002</v>
      </c>
      <c r="F361">
        <v>3670568</v>
      </c>
      <c r="G361">
        <v>6.89</v>
      </c>
    </row>
    <row r="362" spans="1:7" x14ac:dyDescent="0.45">
      <c r="A362" t="s">
        <v>16</v>
      </c>
      <c r="B362">
        <v>2017</v>
      </c>
      <c r="C362" s="1">
        <v>44083</v>
      </c>
      <c r="D362" t="s">
        <v>8</v>
      </c>
      <c r="E362">
        <v>283286</v>
      </c>
      <c r="F362">
        <v>3807282</v>
      </c>
      <c r="G362">
        <v>7.44</v>
      </c>
    </row>
    <row r="363" spans="1:7" x14ac:dyDescent="0.45">
      <c r="A363" t="s">
        <v>17</v>
      </c>
      <c r="B363">
        <v>2017</v>
      </c>
      <c r="C363" s="1">
        <v>44083</v>
      </c>
      <c r="D363" t="s">
        <v>8</v>
      </c>
      <c r="E363">
        <v>477877</v>
      </c>
      <c r="F363">
        <v>5815595</v>
      </c>
      <c r="G363">
        <v>8.2200000000000006</v>
      </c>
    </row>
    <row r="364" spans="1:7" x14ac:dyDescent="0.45">
      <c r="A364" t="s">
        <v>18</v>
      </c>
      <c r="B364">
        <v>2017</v>
      </c>
      <c r="C364" s="1">
        <v>44083</v>
      </c>
      <c r="D364" t="s">
        <v>8</v>
      </c>
      <c r="E364">
        <v>493152</v>
      </c>
      <c r="F364">
        <v>5037634</v>
      </c>
      <c r="G364">
        <v>9.7899999999999991</v>
      </c>
    </row>
    <row r="365" spans="1:7" x14ac:dyDescent="0.45">
      <c r="A365" t="s">
        <v>19</v>
      </c>
      <c r="B365">
        <v>2017</v>
      </c>
      <c r="C365" s="1">
        <v>44083</v>
      </c>
      <c r="D365" t="s">
        <v>8</v>
      </c>
      <c r="E365">
        <v>62741</v>
      </c>
      <c r="F365">
        <v>613251</v>
      </c>
      <c r="G365">
        <v>10.23</v>
      </c>
    </row>
    <row r="366" spans="1:7" x14ac:dyDescent="0.45">
      <c r="A366" t="s">
        <v>20</v>
      </c>
      <c r="B366">
        <v>2017</v>
      </c>
      <c r="C366" s="1">
        <v>44083</v>
      </c>
      <c r="D366" t="s">
        <v>8</v>
      </c>
      <c r="E366">
        <v>1102812</v>
      </c>
      <c r="F366">
        <v>22572383</v>
      </c>
      <c r="G366">
        <v>4.8899999999999997</v>
      </c>
    </row>
    <row r="367" spans="1:7" x14ac:dyDescent="0.45">
      <c r="A367" t="s">
        <v>21</v>
      </c>
      <c r="B367">
        <v>2017</v>
      </c>
      <c r="C367" s="1">
        <v>44083</v>
      </c>
      <c r="D367" t="s">
        <v>8</v>
      </c>
      <c r="E367">
        <v>389019</v>
      </c>
      <c r="F367">
        <v>7015247</v>
      </c>
      <c r="G367">
        <v>5.55</v>
      </c>
    </row>
    <row r="368" spans="1:7" x14ac:dyDescent="0.45">
      <c r="A368" t="s">
        <v>22</v>
      </c>
      <c r="B368">
        <v>2017</v>
      </c>
      <c r="C368" s="1">
        <v>44083</v>
      </c>
      <c r="D368" t="s">
        <v>8</v>
      </c>
      <c r="E368">
        <v>493997</v>
      </c>
      <c r="F368">
        <v>4805415</v>
      </c>
      <c r="G368">
        <v>10.28</v>
      </c>
    </row>
    <row r="369" spans="1:7" x14ac:dyDescent="0.45">
      <c r="A369" t="s">
        <v>7</v>
      </c>
      <c r="B369">
        <v>2017</v>
      </c>
      <c r="C369" s="1">
        <v>44083</v>
      </c>
      <c r="D369" t="s">
        <v>23</v>
      </c>
      <c r="E369">
        <v>25682</v>
      </c>
      <c r="F369">
        <v>593378</v>
      </c>
      <c r="G369">
        <v>4.33</v>
      </c>
    </row>
    <row r="370" spans="1:7" x14ac:dyDescent="0.45">
      <c r="A370" t="s">
        <v>9</v>
      </c>
      <c r="B370">
        <v>2017</v>
      </c>
      <c r="C370" s="1">
        <v>44083</v>
      </c>
      <c r="D370" t="s">
        <v>23</v>
      </c>
      <c r="E370">
        <v>43750</v>
      </c>
      <c r="F370">
        <v>2455022</v>
      </c>
      <c r="G370">
        <v>1.78</v>
      </c>
    </row>
    <row r="371" spans="1:7" x14ac:dyDescent="0.45">
      <c r="A371" t="s">
        <v>10</v>
      </c>
      <c r="B371">
        <v>2017</v>
      </c>
      <c r="C371" s="1">
        <v>44083</v>
      </c>
      <c r="D371" t="s">
        <v>23</v>
      </c>
      <c r="E371">
        <v>176028</v>
      </c>
      <c r="F371">
        <v>4634346</v>
      </c>
      <c r="G371">
        <v>3.8</v>
      </c>
    </row>
    <row r="372" spans="1:7" x14ac:dyDescent="0.45">
      <c r="A372" t="s">
        <v>11</v>
      </c>
      <c r="B372">
        <v>2017</v>
      </c>
      <c r="C372" s="1">
        <v>44083</v>
      </c>
      <c r="D372" t="s">
        <v>23</v>
      </c>
      <c r="E372">
        <v>137358</v>
      </c>
      <c r="F372">
        <v>3015481</v>
      </c>
      <c r="G372">
        <v>4.5599999999999996</v>
      </c>
    </row>
    <row r="373" spans="1:7" x14ac:dyDescent="0.45">
      <c r="A373" t="s">
        <v>12</v>
      </c>
      <c r="B373">
        <v>2017</v>
      </c>
      <c r="C373" s="1">
        <v>44083</v>
      </c>
      <c r="D373" t="s">
        <v>23</v>
      </c>
      <c r="E373">
        <v>569997</v>
      </c>
      <c r="F373">
        <v>17722275</v>
      </c>
      <c r="G373">
        <v>3.22</v>
      </c>
    </row>
    <row r="374" spans="1:7" x14ac:dyDescent="0.45">
      <c r="A374" t="s">
        <v>13</v>
      </c>
      <c r="B374">
        <v>2017</v>
      </c>
      <c r="C374" s="1">
        <v>44083</v>
      </c>
      <c r="D374" t="s">
        <v>23</v>
      </c>
      <c r="E374">
        <v>347116</v>
      </c>
      <c r="F374">
        <v>10556100</v>
      </c>
      <c r="G374">
        <v>3.29</v>
      </c>
    </row>
    <row r="375" spans="1:7" x14ac:dyDescent="0.45">
      <c r="A375" t="s">
        <v>15</v>
      </c>
      <c r="B375">
        <v>2017</v>
      </c>
      <c r="C375" s="1">
        <v>44083</v>
      </c>
      <c r="D375" t="s">
        <v>23</v>
      </c>
      <c r="E375">
        <v>68244</v>
      </c>
      <c r="F375">
        <v>3670568</v>
      </c>
      <c r="G375">
        <v>1.86</v>
      </c>
    </row>
    <row r="376" spans="1:7" x14ac:dyDescent="0.45">
      <c r="A376" t="s">
        <v>16</v>
      </c>
      <c r="B376">
        <v>2017</v>
      </c>
      <c r="C376" s="1">
        <v>44083</v>
      </c>
      <c r="D376" t="s">
        <v>23</v>
      </c>
      <c r="E376">
        <v>94457</v>
      </c>
      <c r="F376">
        <v>3807282</v>
      </c>
      <c r="G376">
        <v>2.48</v>
      </c>
    </row>
    <row r="377" spans="1:7" x14ac:dyDescent="0.45">
      <c r="A377" t="s">
        <v>17</v>
      </c>
      <c r="B377">
        <v>2017</v>
      </c>
      <c r="C377" s="1">
        <v>44083</v>
      </c>
      <c r="D377" t="s">
        <v>23</v>
      </c>
      <c r="E377">
        <v>336527</v>
      </c>
      <c r="F377">
        <v>5815595</v>
      </c>
      <c r="G377">
        <v>5.79</v>
      </c>
    </row>
    <row r="378" spans="1:7" x14ac:dyDescent="0.45">
      <c r="A378" t="s">
        <v>18</v>
      </c>
      <c r="B378">
        <v>2017</v>
      </c>
      <c r="C378" s="1">
        <v>44083</v>
      </c>
      <c r="D378" t="s">
        <v>23</v>
      </c>
      <c r="E378">
        <v>176178</v>
      </c>
      <c r="F378">
        <v>5037634</v>
      </c>
      <c r="G378">
        <v>3.5</v>
      </c>
    </row>
    <row r="379" spans="1:7" x14ac:dyDescent="0.45">
      <c r="A379" t="s">
        <v>19</v>
      </c>
      <c r="B379">
        <v>2017</v>
      </c>
      <c r="C379" s="1">
        <v>44083</v>
      </c>
      <c r="D379" t="s">
        <v>23</v>
      </c>
      <c r="E379">
        <v>12537</v>
      </c>
      <c r="F379">
        <v>613251</v>
      </c>
      <c r="G379">
        <v>2.04</v>
      </c>
    </row>
    <row r="380" spans="1:7" x14ac:dyDescent="0.45">
      <c r="A380" t="s">
        <v>24</v>
      </c>
      <c r="B380">
        <v>2017</v>
      </c>
      <c r="C380" s="1">
        <v>44083</v>
      </c>
      <c r="D380" t="s">
        <v>23</v>
      </c>
      <c r="E380">
        <v>193355</v>
      </c>
      <c r="F380">
        <v>3468412</v>
      </c>
      <c r="G380">
        <v>5.57</v>
      </c>
    </row>
    <row r="381" spans="1:7" x14ac:dyDescent="0.45">
      <c r="A381" t="s">
        <v>20</v>
      </c>
      <c r="B381">
        <v>2017</v>
      </c>
      <c r="C381" s="1">
        <v>44083</v>
      </c>
      <c r="D381" t="s">
        <v>23</v>
      </c>
      <c r="E381">
        <v>612875</v>
      </c>
      <c r="F381">
        <v>22572383</v>
      </c>
      <c r="G381">
        <v>2.72</v>
      </c>
    </row>
    <row r="382" spans="1:7" x14ac:dyDescent="0.45">
      <c r="A382" t="s">
        <v>21</v>
      </c>
      <c r="B382">
        <v>2017</v>
      </c>
      <c r="C382" s="1">
        <v>44083</v>
      </c>
      <c r="D382" t="s">
        <v>23</v>
      </c>
      <c r="E382">
        <v>267396</v>
      </c>
      <c r="F382">
        <v>7015247</v>
      </c>
      <c r="G382">
        <v>3.81</v>
      </c>
    </row>
    <row r="383" spans="1:7" x14ac:dyDescent="0.45">
      <c r="A383" t="s">
        <v>22</v>
      </c>
      <c r="B383">
        <v>2017</v>
      </c>
      <c r="C383" s="1">
        <v>44083</v>
      </c>
      <c r="D383" t="s">
        <v>23</v>
      </c>
      <c r="E383">
        <v>171106</v>
      </c>
      <c r="F383">
        <v>4805415</v>
      </c>
      <c r="G383">
        <v>3.56</v>
      </c>
    </row>
    <row r="384" spans="1:7" x14ac:dyDescent="0.45">
      <c r="A384" t="s">
        <v>7</v>
      </c>
      <c r="B384">
        <v>2017</v>
      </c>
      <c r="C384" s="1">
        <v>44083</v>
      </c>
      <c r="D384" t="s">
        <v>25</v>
      </c>
      <c r="E384">
        <v>48752</v>
      </c>
      <c r="F384">
        <v>593378</v>
      </c>
      <c r="G384">
        <v>8.2200000000000006</v>
      </c>
    </row>
    <row r="385" spans="1:7" x14ac:dyDescent="0.45">
      <c r="A385" t="s">
        <v>9</v>
      </c>
      <c r="B385">
        <v>2017</v>
      </c>
      <c r="C385" s="1">
        <v>44083</v>
      </c>
      <c r="D385" t="s">
        <v>25</v>
      </c>
      <c r="E385">
        <v>217917</v>
      </c>
      <c r="F385">
        <v>2455022</v>
      </c>
      <c r="G385">
        <v>8.8800000000000008</v>
      </c>
    </row>
    <row r="386" spans="1:7" x14ac:dyDescent="0.45">
      <c r="A386" t="s">
        <v>10</v>
      </c>
      <c r="B386">
        <v>2017</v>
      </c>
      <c r="C386" s="1">
        <v>44083</v>
      </c>
      <c r="D386" t="s">
        <v>25</v>
      </c>
      <c r="E386">
        <v>447429</v>
      </c>
      <c r="F386">
        <v>4634346</v>
      </c>
      <c r="G386">
        <v>9.65</v>
      </c>
    </row>
    <row r="387" spans="1:7" x14ac:dyDescent="0.45">
      <c r="A387" t="s">
        <v>11</v>
      </c>
      <c r="B387">
        <v>2017</v>
      </c>
      <c r="C387" s="1">
        <v>44083</v>
      </c>
      <c r="D387" t="s">
        <v>25</v>
      </c>
      <c r="E387">
        <v>211723</v>
      </c>
      <c r="F387">
        <v>3015481</v>
      </c>
      <c r="G387">
        <v>7.02</v>
      </c>
    </row>
    <row r="388" spans="1:7" x14ac:dyDescent="0.45">
      <c r="A388" t="s">
        <v>12</v>
      </c>
      <c r="B388">
        <v>2017</v>
      </c>
      <c r="C388" s="1">
        <v>44083</v>
      </c>
      <c r="D388" t="s">
        <v>25</v>
      </c>
      <c r="E388">
        <v>1462187</v>
      </c>
      <c r="F388">
        <v>17722275</v>
      </c>
      <c r="G388">
        <v>8.25</v>
      </c>
    </row>
    <row r="389" spans="1:7" x14ac:dyDescent="0.45">
      <c r="A389" t="s">
        <v>13</v>
      </c>
      <c r="B389">
        <v>2017</v>
      </c>
      <c r="C389" s="1">
        <v>44083</v>
      </c>
      <c r="D389" t="s">
        <v>25</v>
      </c>
      <c r="E389">
        <v>963893</v>
      </c>
      <c r="F389">
        <v>10556100</v>
      </c>
      <c r="G389">
        <v>9.1300000000000008</v>
      </c>
    </row>
    <row r="390" spans="1:7" x14ac:dyDescent="0.45">
      <c r="A390" t="s">
        <v>14</v>
      </c>
      <c r="B390">
        <v>2017</v>
      </c>
      <c r="C390" s="1">
        <v>44083</v>
      </c>
      <c r="D390" t="s">
        <v>25</v>
      </c>
      <c r="E390">
        <v>244159</v>
      </c>
      <c r="F390">
        <v>2356231</v>
      </c>
      <c r="G390">
        <v>10.36</v>
      </c>
    </row>
    <row r="391" spans="1:7" x14ac:dyDescent="0.45">
      <c r="A391" t="s">
        <v>15</v>
      </c>
      <c r="B391">
        <v>2017</v>
      </c>
      <c r="C391" s="1">
        <v>44083</v>
      </c>
      <c r="D391" t="s">
        <v>25</v>
      </c>
      <c r="E391">
        <v>358923</v>
      </c>
      <c r="F391">
        <v>3670568</v>
      </c>
      <c r="G391">
        <v>9.7799999999999994</v>
      </c>
    </row>
    <row r="392" spans="1:7" x14ac:dyDescent="0.45">
      <c r="A392" t="s">
        <v>17</v>
      </c>
      <c r="B392">
        <v>2017</v>
      </c>
      <c r="C392" s="1">
        <v>44083</v>
      </c>
      <c r="D392" t="s">
        <v>25</v>
      </c>
      <c r="E392">
        <v>445924</v>
      </c>
      <c r="F392">
        <v>5815595</v>
      </c>
      <c r="G392">
        <v>7.67</v>
      </c>
    </row>
    <row r="393" spans="1:7" x14ac:dyDescent="0.45">
      <c r="A393" t="s">
        <v>18</v>
      </c>
      <c r="B393">
        <v>2017</v>
      </c>
      <c r="C393" s="1">
        <v>44083</v>
      </c>
      <c r="D393" t="s">
        <v>25</v>
      </c>
      <c r="E393">
        <v>468924</v>
      </c>
      <c r="F393">
        <v>5037634</v>
      </c>
      <c r="G393">
        <v>9.31</v>
      </c>
    </row>
    <row r="394" spans="1:7" x14ac:dyDescent="0.45">
      <c r="A394" t="s">
        <v>19</v>
      </c>
      <c r="B394">
        <v>2017</v>
      </c>
      <c r="C394" s="1">
        <v>44083</v>
      </c>
      <c r="D394" t="s">
        <v>25</v>
      </c>
      <c r="E394">
        <v>68097</v>
      </c>
      <c r="F394">
        <v>613251</v>
      </c>
      <c r="G394">
        <v>11.1</v>
      </c>
    </row>
    <row r="395" spans="1:7" x14ac:dyDescent="0.45">
      <c r="A395" t="s">
        <v>24</v>
      </c>
      <c r="B395">
        <v>2017</v>
      </c>
      <c r="C395" s="1">
        <v>44083</v>
      </c>
      <c r="D395" t="s">
        <v>25</v>
      </c>
      <c r="E395">
        <v>440503</v>
      </c>
      <c r="F395">
        <v>3468412</v>
      </c>
      <c r="G395">
        <v>12.7</v>
      </c>
    </row>
    <row r="396" spans="1:7" x14ac:dyDescent="0.45">
      <c r="A396" t="s">
        <v>20</v>
      </c>
      <c r="B396">
        <v>2017</v>
      </c>
      <c r="C396" s="1">
        <v>44083</v>
      </c>
      <c r="D396" t="s">
        <v>25</v>
      </c>
      <c r="E396">
        <v>2556785</v>
      </c>
      <c r="F396">
        <v>22572383</v>
      </c>
      <c r="G396">
        <v>11.33</v>
      </c>
    </row>
    <row r="397" spans="1:7" x14ac:dyDescent="0.45">
      <c r="A397" t="s">
        <v>21</v>
      </c>
      <c r="B397">
        <v>2017</v>
      </c>
      <c r="C397" s="1">
        <v>44083</v>
      </c>
      <c r="D397" t="s">
        <v>25</v>
      </c>
      <c r="E397">
        <v>560421</v>
      </c>
      <c r="F397">
        <v>7015247</v>
      </c>
      <c r="G397">
        <v>7.99</v>
      </c>
    </row>
    <row r="398" spans="1:7" x14ac:dyDescent="0.45">
      <c r="A398" t="s">
        <v>7</v>
      </c>
      <c r="B398">
        <v>2017</v>
      </c>
      <c r="C398" s="1">
        <v>44114</v>
      </c>
      <c r="D398" t="s">
        <v>8</v>
      </c>
      <c r="E398">
        <v>54797</v>
      </c>
      <c r="F398">
        <v>593378</v>
      </c>
      <c r="G398">
        <v>9.23</v>
      </c>
    </row>
    <row r="399" spans="1:7" x14ac:dyDescent="0.45">
      <c r="A399" t="s">
        <v>9</v>
      </c>
      <c r="B399">
        <v>2017</v>
      </c>
      <c r="C399" s="1">
        <v>44114</v>
      </c>
      <c r="D399" t="s">
        <v>8</v>
      </c>
      <c r="E399">
        <v>125104</v>
      </c>
      <c r="F399">
        <v>2455022</v>
      </c>
      <c r="G399">
        <v>5.0999999999999996</v>
      </c>
    </row>
    <row r="400" spans="1:7" x14ac:dyDescent="0.45">
      <c r="A400" t="s">
        <v>10</v>
      </c>
      <c r="B400">
        <v>2017</v>
      </c>
      <c r="C400" s="1">
        <v>44114</v>
      </c>
      <c r="D400" t="s">
        <v>8</v>
      </c>
      <c r="E400">
        <v>436085</v>
      </c>
      <c r="F400">
        <v>4634346</v>
      </c>
      <c r="G400">
        <v>9.41</v>
      </c>
    </row>
    <row r="401" spans="1:7" x14ac:dyDescent="0.45">
      <c r="A401" t="s">
        <v>11</v>
      </c>
      <c r="B401">
        <v>2017</v>
      </c>
      <c r="C401" s="1">
        <v>44114</v>
      </c>
      <c r="D401" t="s">
        <v>8</v>
      </c>
      <c r="E401">
        <v>321352</v>
      </c>
      <c r="F401">
        <v>3015481</v>
      </c>
      <c r="G401">
        <v>10.66</v>
      </c>
    </row>
    <row r="402" spans="1:7" x14ac:dyDescent="0.45">
      <c r="A402" t="s">
        <v>12</v>
      </c>
      <c r="B402">
        <v>2017</v>
      </c>
      <c r="C402" s="1">
        <v>44114</v>
      </c>
      <c r="D402" t="s">
        <v>8</v>
      </c>
      <c r="E402">
        <v>1644048</v>
      </c>
      <c r="F402">
        <v>17722275</v>
      </c>
      <c r="G402">
        <v>9.2799999999999994</v>
      </c>
    </row>
    <row r="403" spans="1:7" x14ac:dyDescent="0.45">
      <c r="A403" t="s">
        <v>13</v>
      </c>
      <c r="B403">
        <v>2017</v>
      </c>
      <c r="C403" s="1">
        <v>44114</v>
      </c>
      <c r="D403" t="s">
        <v>8</v>
      </c>
      <c r="E403">
        <v>779086</v>
      </c>
      <c r="F403">
        <v>10556100</v>
      </c>
      <c r="G403">
        <v>7.38</v>
      </c>
    </row>
    <row r="404" spans="1:7" x14ac:dyDescent="0.45">
      <c r="A404" t="s">
        <v>14</v>
      </c>
      <c r="B404">
        <v>2017</v>
      </c>
      <c r="C404" s="1">
        <v>44114</v>
      </c>
      <c r="D404" t="s">
        <v>8</v>
      </c>
      <c r="E404">
        <v>140614</v>
      </c>
      <c r="F404">
        <v>2356231</v>
      </c>
      <c r="G404">
        <v>5.97</v>
      </c>
    </row>
    <row r="405" spans="1:7" x14ac:dyDescent="0.45">
      <c r="A405" t="s">
        <v>15</v>
      </c>
      <c r="B405">
        <v>2017</v>
      </c>
      <c r="C405" s="1">
        <v>44114</v>
      </c>
      <c r="D405" t="s">
        <v>8</v>
      </c>
      <c r="E405">
        <v>243856</v>
      </c>
      <c r="F405">
        <v>3670568</v>
      </c>
      <c r="G405">
        <v>6.64</v>
      </c>
    </row>
    <row r="406" spans="1:7" x14ac:dyDescent="0.45">
      <c r="A406" t="s">
        <v>16</v>
      </c>
      <c r="B406">
        <v>2017</v>
      </c>
      <c r="C406" s="1">
        <v>44114</v>
      </c>
      <c r="D406" t="s">
        <v>8</v>
      </c>
      <c r="E406">
        <v>340181</v>
      </c>
      <c r="F406">
        <v>3807282</v>
      </c>
      <c r="G406">
        <v>8.94</v>
      </c>
    </row>
    <row r="407" spans="1:7" x14ac:dyDescent="0.45">
      <c r="A407" t="s">
        <v>17</v>
      </c>
      <c r="B407">
        <v>2017</v>
      </c>
      <c r="C407" s="1">
        <v>44114</v>
      </c>
      <c r="D407" t="s">
        <v>8</v>
      </c>
      <c r="E407">
        <v>448926</v>
      </c>
      <c r="F407">
        <v>5815595</v>
      </c>
      <c r="G407">
        <v>7.72</v>
      </c>
    </row>
    <row r="408" spans="1:7" x14ac:dyDescent="0.45">
      <c r="A408" t="s">
        <v>18</v>
      </c>
      <c r="B408">
        <v>2017</v>
      </c>
      <c r="C408" s="1">
        <v>44114</v>
      </c>
      <c r="D408" t="s">
        <v>8</v>
      </c>
      <c r="E408">
        <v>429637</v>
      </c>
      <c r="F408">
        <v>5037634</v>
      </c>
      <c r="G408">
        <v>8.5299999999999994</v>
      </c>
    </row>
    <row r="409" spans="1:7" x14ac:dyDescent="0.45">
      <c r="A409" t="s">
        <v>19</v>
      </c>
      <c r="B409">
        <v>2017</v>
      </c>
      <c r="C409" s="1">
        <v>44114</v>
      </c>
      <c r="D409" t="s">
        <v>8</v>
      </c>
      <c r="E409">
        <v>66969</v>
      </c>
      <c r="F409">
        <v>613251</v>
      </c>
      <c r="G409">
        <v>10.92</v>
      </c>
    </row>
    <row r="410" spans="1:7" x14ac:dyDescent="0.45">
      <c r="A410" t="s">
        <v>20</v>
      </c>
      <c r="B410">
        <v>2017</v>
      </c>
      <c r="C410" s="1">
        <v>44114</v>
      </c>
      <c r="D410" t="s">
        <v>8</v>
      </c>
      <c r="E410">
        <v>1383565</v>
      </c>
      <c r="F410">
        <v>22572383</v>
      </c>
      <c r="G410">
        <v>6.13</v>
      </c>
    </row>
    <row r="411" spans="1:7" x14ac:dyDescent="0.45">
      <c r="A411" t="s">
        <v>21</v>
      </c>
      <c r="B411">
        <v>2017</v>
      </c>
      <c r="C411" s="1">
        <v>44114</v>
      </c>
      <c r="D411" t="s">
        <v>8</v>
      </c>
      <c r="E411">
        <v>384369</v>
      </c>
      <c r="F411">
        <v>7015247</v>
      </c>
      <c r="G411">
        <v>5.48</v>
      </c>
    </row>
    <row r="412" spans="1:7" x14ac:dyDescent="0.45">
      <c r="A412" t="s">
        <v>22</v>
      </c>
      <c r="B412">
        <v>2017</v>
      </c>
      <c r="C412" s="1">
        <v>44114</v>
      </c>
      <c r="D412" t="s">
        <v>8</v>
      </c>
      <c r="E412">
        <v>438771</v>
      </c>
      <c r="F412">
        <v>4805415</v>
      </c>
      <c r="G412">
        <v>9.1300000000000008</v>
      </c>
    </row>
    <row r="413" spans="1:7" x14ac:dyDescent="0.45">
      <c r="A413" t="s">
        <v>7</v>
      </c>
      <c r="B413">
        <v>2017</v>
      </c>
      <c r="C413" s="1">
        <v>44114</v>
      </c>
      <c r="D413" t="s">
        <v>23</v>
      </c>
      <c r="E413">
        <v>24217</v>
      </c>
      <c r="F413">
        <v>593378</v>
      </c>
      <c r="G413">
        <v>4.08</v>
      </c>
    </row>
    <row r="414" spans="1:7" x14ac:dyDescent="0.45">
      <c r="A414" t="s">
        <v>9</v>
      </c>
      <c r="B414">
        <v>2017</v>
      </c>
      <c r="C414" s="1">
        <v>44114</v>
      </c>
      <c r="D414" t="s">
        <v>23</v>
      </c>
      <c r="E414">
        <v>42540</v>
      </c>
      <c r="F414">
        <v>2455022</v>
      </c>
      <c r="G414">
        <v>1.73</v>
      </c>
    </row>
    <row r="415" spans="1:7" x14ac:dyDescent="0.45">
      <c r="A415" t="s">
        <v>10</v>
      </c>
      <c r="B415">
        <v>2017</v>
      </c>
      <c r="C415" s="1">
        <v>44114</v>
      </c>
      <c r="D415" t="s">
        <v>23</v>
      </c>
      <c r="E415">
        <v>206278</v>
      </c>
      <c r="F415">
        <v>4634346</v>
      </c>
      <c r="G415">
        <v>4.45</v>
      </c>
    </row>
    <row r="416" spans="1:7" x14ac:dyDescent="0.45">
      <c r="A416" t="s">
        <v>11</v>
      </c>
      <c r="B416">
        <v>2017</v>
      </c>
      <c r="C416" s="1">
        <v>44114</v>
      </c>
      <c r="D416" t="s">
        <v>23</v>
      </c>
      <c r="E416">
        <v>176972</v>
      </c>
      <c r="F416">
        <v>3015481</v>
      </c>
      <c r="G416">
        <v>5.87</v>
      </c>
    </row>
    <row r="417" spans="1:7" x14ac:dyDescent="0.45">
      <c r="A417" t="s">
        <v>12</v>
      </c>
      <c r="B417">
        <v>2017</v>
      </c>
      <c r="C417" s="1">
        <v>44114</v>
      </c>
      <c r="D417" t="s">
        <v>23</v>
      </c>
      <c r="E417">
        <v>843762</v>
      </c>
      <c r="F417">
        <v>17722275</v>
      </c>
      <c r="G417">
        <v>4.76</v>
      </c>
    </row>
    <row r="418" spans="1:7" x14ac:dyDescent="0.45">
      <c r="A418" t="s">
        <v>13</v>
      </c>
      <c r="B418">
        <v>2017</v>
      </c>
      <c r="C418" s="1">
        <v>44114</v>
      </c>
      <c r="D418" t="s">
        <v>23</v>
      </c>
      <c r="E418">
        <v>422007</v>
      </c>
      <c r="F418">
        <v>10556100</v>
      </c>
      <c r="G418">
        <v>4</v>
      </c>
    </row>
    <row r="419" spans="1:7" x14ac:dyDescent="0.45">
      <c r="A419" t="s">
        <v>15</v>
      </c>
      <c r="B419">
        <v>2017</v>
      </c>
      <c r="C419" s="1">
        <v>44114</v>
      </c>
      <c r="D419" t="s">
        <v>23</v>
      </c>
      <c r="E419">
        <v>60213</v>
      </c>
      <c r="F419">
        <v>3670568</v>
      </c>
      <c r="G419">
        <v>1.64</v>
      </c>
    </row>
    <row r="420" spans="1:7" x14ac:dyDescent="0.45">
      <c r="A420" t="s">
        <v>16</v>
      </c>
      <c r="B420">
        <v>2017</v>
      </c>
      <c r="C420" s="1">
        <v>44114</v>
      </c>
      <c r="D420" t="s">
        <v>23</v>
      </c>
      <c r="E420">
        <v>118239</v>
      </c>
      <c r="F420">
        <v>3807282</v>
      </c>
      <c r="G420">
        <v>3.11</v>
      </c>
    </row>
    <row r="421" spans="1:7" x14ac:dyDescent="0.45">
      <c r="A421" t="s">
        <v>17</v>
      </c>
      <c r="B421">
        <v>2017</v>
      </c>
      <c r="C421" s="1">
        <v>44114</v>
      </c>
      <c r="D421" t="s">
        <v>23</v>
      </c>
      <c r="E421">
        <v>288639</v>
      </c>
      <c r="F421">
        <v>5815595</v>
      </c>
      <c r="G421">
        <v>4.96</v>
      </c>
    </row>
    <row r="422" spans="1:7" x14ac:dyDescent="0.45">
      <c r="A422" t="s">
        <v>18</v>
      </c>
      <c r="B422">
        <v>2017</v>
      </c>
      <c r="C422" s="1">
        <v>44114</v>
      </c>
      <c r="D422" t="s">
        <v>23</v>
      </c>
      <c r="E422">
        <v>184289</v>
      </c>
      <c r="F422">
        <v>5037634</v>
      </c>
      <c r="G422">
        <v>3.66</v>
      </c>
    </row>
    <row r="423" spans="1:7" x14ac:dyDescent="0.45">
      <c r="A423" t="s">
        <v>19</v>
      </c>
      <c r="B423">
        <v>2017</v>
      </c>
      <c r="C423" s="1">
        <v>44114</v>
      </c>
      <c r="D423" t="s">
        <v>23</v>
      </c>
      <c r="E423">
        <v>18212</v>
      </c>
      <c r="F423">
        <v>613251</v>
      </c>
      <c r="G423">
        <v>2.97</v>
      </c>
    </row>
    <row r="424" spans="1:7" x14ac:dyDescent="0.45">
      <c r="A424" t="s">
        <v>24</v>
      </c>
      <c r="B424">
        <v>2017</v>
      </c>
      <c r="C424" s="1">
        <v>44114</v>
      </c>
      <c r="D424" t="s">
        <v>23</v>
      </c>
      <c r="E424">
        <v>176197</v>
      </c>
      <c r="F424">
        <v>3468412</v>
      </c>
      <c r="G424">
        <v>5.08</v>
      </c>
    </row>
    <row r="425" spans="1:7" x14ac:dyDescent="0.45">
      <c r="A425" t="s">
        <v>20</v>
      </c>
      <c r="B425">
        <v>2017</v>
      </c>
      <c r="C425" s="1">
        <v>44114</v>
      </c>
      <c r="D425" t="s">
        <v>23</v>
      </c>
      <c r="E425">
        <v>613728</v>
      </c>
      <c r="F425">
        <v>22572383</v>
      </c>
      <c r="G425">
        <v>2.72</v>
      </c>
    </row>
    <row r="426" spans="1:7" x14ac:dyDescent="0.45">
      <c r="A426" t="s">
        <v>21</v>
      </c>
      <c r="B426">
        <v>2017</v>
      </c>
      <c r="C426" s="1">
        <v>44114</v>
      </c>
      <c r="D426" t="s">
        <v>23</v>
      </c>
      <c r="E426">
        <v>309324</v>
      </c>
      <c r="F426">
        <v>7015247</v>
      </c>
      <c r="G426">
        <v>4.41</v>
      </c>
    </row>
    <row r="427" spans="1:7" x14ac:dyDescent="0.45">
      <c r="A427" t="s">
        <v>22</v>
      </c>
      <c r="B427">
        <v>2017</v>
      </c>
      <c r="C427" s="1">
        <v>44114</v>
      </c>
      <c r="D427" t="s">
        <v>23</v>
      </c>
      <c r="E427">
        <v>173415</v>
      </c>
      <c r="F427">
        <v>4805415</v>
      </c>
      <c r="G427">
        <v>3.61</v>
      </c>
    </row>
    <row r="428" spans="1:7" x14ac:dyDescent="0.45">
      <c r="A428" t="s">
        <v>7</v>
      </c>
      <c r="B428">
        <v>2017</v>
      </c>
      <c r="C428" s="1">
        <v>44114</v>
      </c>
      <c r="D428" t="s">
        <v>25</v>
      </c>
      <c r="E428">
        <v>44904</v>
      </c>
      <c r="F428">
        <v>593378</v>
      </c>
      <c r="G428">
        <v>7.57</v>
      </c>
    </row>
    <row r="429" spans="1:7" x14ac:dyDescent="0.45">
      <c r="A429" t="s">
        <v>9</v>
      </c>
      <c r="B429">
        <v>2017</v>
      </c>
      <c r="C429" s="1">
        <v>44114</v>
      </c>
      <c r="D429" t="s">
        <v>25</v>
      </c>
      <c r="E429">
        <v>191956</v>
      </c>
      <c r="F429">
        <v>2455022</v>
      </c>
      <c r="G429">
        <v>7.82</v>
      </c>
    </row>
    <row r="430" spans="1:7" x14ac:dyDescent="0.45">
      <c r="A430" t="s">
        <v>10</v>
      </c>
      <c r="B430">
        <v>2017</v>
      </c>
      <c r="C430" s="1">
        <v>44114</v>
      </c>
      <c r="D430" t="s">
        <v>25</v>
      </c>
      <c r="E430">
        <v>403754</v>
      </c>
      <c r="F430">
        <v>4634346</v>
      </c>
      <c r="G430">
        <v>8.7100000000000009</v>
      </c>
    </row>
    <row r="431" spans="1:7" x14ac:dyDescent="0.45">
      <c r="A431" t="s">
        <v>11</v>
      </c>
      <c r="B431">
        <v>2017</v>
      </c>
      <c r="C431" s="1">
        <v>44114</v>
      </c>
      <c r="D431" t="s">
        <v>25</v>
      </c>
      <c r="E431">
        <v>190022</v>
      </c>
      <c r="F431">
        <v>3015481</v>
      </c>
      <c r="G431">
        <v>6.3</v>
      </c>
    </row>
    <row r="432" spans="1:7" x14ac:dyDescent="0.45">
      <c r="A432" t="s">
        <v>12</v>
      </c>
      <c r="B432">
        <v>2017</v>
      </c>
      <c r="C432" s="1">
        <v>44114</v>
      </c>
      <c r="D432" t="s">
        <v>25</v>
      </c>
      <c r="E432">
        <v>1522546</v>
      </c>
      <c r="F432">
        <v>17722275</v>
      </c>
      <c r="G432">
        <v>8.59</v>
      </c>
    </row>
    <row r="433" spans="1:7" x14ac:dyDescent="0.45">
      <c r="A433" t="s">
        <v>13</v>
      </c>
      <c r="B433">
        <v>2017</v>
      </c>
      <c r="C433" s="1">
        <v>44114</v>
      </c>
      <c r="D433" t="s">
        <v>25</v>
      </c>
      <c r="E433">
        <v>916924</v>
      </c>
      <c r="F433">
        <v>10556100</v>
      </c>
      <c r="G433">
        <v>8.69</v>
      </c>
    </row>
    <row r="434" spans="1:7" x14ac:dyDescent="0.45">
      <c r="A434" t="s">
        <v>14</v>
      </c>
      <c r="B434">
        <v>2017</v>
      </c>
      <c r="C434" s="1">
        <v>44114</v>
      </c>
      <c r="D434" t="s">
        <v>25</v>
      </c>
      <c r="E434">
        <v>194037</v>
      </c>
      <c r="F434">
        <v>2356231</v>
      </c>
      <c r="G434">
        <v>8.24</v>
      </c>
    </row>
    <row r="435" spans="1:7" x14ac:dyDescent="0.45">
      <c r="A435" t="s">
        <v>15</v>
      </c>
      <c r="B435">
        <v>2017</v>
      </c>
      <c r="C435" s="1">
        <v>44114</v>
      </c>
      <c r="D435" t="s">
        <v>25</v>
      </c>
      <c r="E435">
        <v>280657</v>
      </c>
      <c r="F435">
        <v>3670568</v>
      </c>
      <c r="G435">
        <v>7.65</v>
      </c>
    </row>
    <row r="436" spans="1:7" x14ac:dyDescent="0.45">
      <c r="A436" t="s">
        <v>17</v>
      </c>
      <c r="B436">
        <v>2017</v>
      </c>
      <c r="C436" s="1">
        <v>44114</v>
      </c>
      <c r="D436" t="s">
        <v>25</v>
      </c>
      <c r="E436">
        <v>418093</v>
      </c>
      <c r="F436">
        <v>5815595</v>
      </c>
      <c r="G436">
        <v>7.19</v>
      </c>
    </row>
    <row r="437" spans="1:7" x14ac:dyDescent="0.45">
      <c r="A437" t="s">
        <v>18</v>
      </c>
      <c r="B437">
        <v>2017</v>
      </c>
      <c r="C437" s="1">
        <v>44114</v>
      </c>
      <c r="D437" t="s">
        <v>25</v>
      </c>
      <c r="E437">
        <v>462034</v>
      </c>
      <c r="F437">
        <v>5037634</v>
      </c>
      <c r="G437">
        <v>9.17</v>
      </c>
    </row>
    <row r="438" spans="1:7" x14ac:dyDescent="0.45">
      <c r="A438" t="s">
        <v>19</v>
      </c>
      <c r="B438">
        <v>2017</v>
      </c>
      <c r="C438" s="1">
        <v>44114</v>
      </c>
      <c r="D438" t="s">
        <v>25</v>
      </c>
      <c r="E438">
        <v>70943</v>
      </c>
      <c r="F438">
        <v>613251</v>
      </c>
      <c r="G438">
        <v>11.57</v>
      </c>
    </row>
    <row r="439" spans="1:7" x14ac:dyDescent="0.45">
      <c r="A439" t="s">
        <v>24</v>
      </c>
      <c r="B439">
        <v>2017</v>
      </c>
      <c r="C439" s="1">
        <v>44114</v>
      </c>
      <c r="D439" t="s">
        <v>25</v>
      </c>
      <c r="E439">
        <v>372451</v>
      </c>
      <c r="F439">
        <v>3468412</v>
      </c>
      <c r="G439">
        <v>10.74</v>
      </c>
    </row>
    <row r="440" spans="1:7" x14ac:dyDescent="0.45">
      <c r="A440" t="s">
        <v>20</v>
      </c>
      <c r="B440">
        <v>2017</v>
      </c>
      <c r="C440" s="1">
        <v>44114</v>
      </c>
      <c r="D440" t="s">
        <v>25</v>
      </c>
      <c r="E440">
        <v>2362853</v>
      </c>
      <c r="F440">
        <v>22572383</v>
      </c>
      <c r="G440">
        <v>10.47</v>
      </c>
    </row>
    <row r="441" spans="1:7" x14ac:dyDescent="0.45">
      <c r="A441" t="s">
        <v>21</v>
      </c>
      <c r="B441">
        <v>2017</v>
      </c>
      <c r="C441" s="1">
        <v>44114</v>
      </c>
      <c r="D441" t="s">
        <v>25</v>
      </c>
      <c r="E441">
        <v>552361</v>
      </c>
      <c r="F441">
        <v>7015247</v>
      </c>
      <c r="G441">
        <v>7.87</v>
      </c>
    </row>
    <row r="442" spans="1:7" x14ac:dyDescent="0.45">
      <c r="A442" t="s">
        <v>7</v>
      </c>
      <c r="B442">
        <v>2017</v>
      </c>
      <c r="C442" s="1">
        <v>44146</v>
      </c>
      <c r="D442" t="s">
        <v>8</v>
      </c>
      <c r="E442">
        <v>60612</v>
      </c>
      <c r="F442">
        <v>593378</v>
      </c>
      <c r="G442">
        <v>10.210000000000001</v>
      </c>
    </row>
    <row r="443" spans="1:7" x14ac:dyDescent="0.45">
      <c r="A443" t="s">
        <v>9</v>
      </c>
      <c r="B443">
        <v>2017</v>
      </c>
      <c r="C443" s="1">
        <v>44146</v>
      </c>
      <c r="D443" t="s">
        <v>8</v>
      </c>
      <c r="E443">
        <v>154462</v>
      </c>
      <c r="F443">
        <v>2455022</v>
      </c>
      <c r="G443">
        <v>6.29</v>
      </c>
    </row>
    <row r="444" spans="1:7" x14ac:dyDescent="0.45">
      <c r="A444" t="s">
        <v>10</v>
      </c>
      <c r="B444">
        <v>2017</v>
      </c>
      <c r="C444" s="1">
        <v>44146</v>
      </c>
      <c r="D444" t="s">
        <v>8</v>
      </c>
      <c r="E444">
        <v>492659</v>
      </c>
      <c r="F444">
        <v>4634346</v>
      </c>
      <c r="G444">
        <v>10.63</v>
      </c>
    </row>
    <row r="445" spans="1:7" x14ac:dyDescent="0.45">
      <c r="A445" t="s">
        <v>11</v>
      </c>
      <c r="B445">
        <v>2017</v>
      </c>
      <c r="C445" s="1">
        <v>44146</v>
      </c>
      <c r="D445" t="s">
        <v>8</v>
      </c>
      <c r="E445">
        <v>280664</v>
      </c>
      <c r="F445">
        <v>3015481</v>
      </c>
      <c r="G445">
        <v>9.31</v>
      </c>
    </row>
    <row r="446" spans="1:7" x14ac:dyDescent="0.45">
      <c r="A446" t="s">
        <v>12</v>
      </c>
      <c r="B446">
        <v>2017</v>
      </c>
      <c r="C446" s="1">
        <v>44146</v>
      </c>
      <c r="D446" t="s">
        <v>8</v>
      </c>
      <c r="E446">
        <v>1644497</v>
      </c>
      <c r="F446">
        <v>17722275</v>
      </c>
      <c r="G446">
        <v>9.2799999999999994</v>
      </c>
    </row>
    <row r="447" spans="1:7" x14ac:dyDescent="0.45">
      <c r="A447" t="s">
        <v>13</v>
      </c>
      <c r="B447">
        <v>2017</v>
      </c>
      <c r="C447" s="1">
        <v>44146</v>
      </c>
      <c r="D447" t="s">
        <v>8</v>
      </c>
      <c r="E447">
        <v>831533</v>
      </c>
      <c r="F447">
        <v>10556100</v>
      </c>
      <c r="G447">
        <v>7.88</v>
      </c>
    </row>
    <row r="448" spans="1:7" x14ac:dyDescent="0.45">
      <c r="A448" t="s">
        <v>14</v>
      </c>
      <c r="B448">
        <v>2017</v>
      </c>
      <c r="C448" s="1">
        <v>44146</v>
      </c>
      <c r="D448" t="s">
        <v>8</v>
      </c>
      <c r="E448">
        <v>219415</v>
      </c>
      <c r="F448">
        <v>2356231</v>
      </c>
      <c r="G448">
        <v>9.31</v>
      </c>
    </row>
    <row r="449" spans="1:7" x14ac:dyDescent="0.45">
      <c r="A449" t="s">
        <v>15</v>
      </c>
      <c r="B449">
        <v>2017</v>
      </c>
      <c r="C449" s="1">
        <v>44146</v>
      </c>
      <c r="D449" t="s">
        <v>8</v>
      </c>
      <c r="E449">
        <v>264160</v>
      </c>
      <c r="F449">
        <v>3670568</v>
      </c>
      <c r="G449">
        <v>7.2</v>
      </c>
    </row>
    <row r="450" spans="1:7" x14ac:dyDescent="0.45">
      <c r="A450" t="s">
        <v>16</v>
      </c>
      <c r="B450">
        <v>2017</v>
      </c>
      <c r="C450" s="1">
        <v>44146</v>
      </c>
      <c r="D450" t="s">
        <v>8</v>
      </c>
      <c r="E450">
        <v>335973</v>
      </c>
      <c r="F450">
        <v>3807282</v>
      </c>
      <c r="G450">
        <v>8.82</v>
      </c>
    </row>
    <row r="451" spans="1:7" x14ac:dyDescent="0.45">
      <c r="A451" t="s">
        <v>17</v>
      </c>
      <c r="B451">
        <v>2017</v>
      </c>
      <c r="C451" s="1">
        <v>44146</v>
      </c>
      <c r="D451" t="s">
        <v>8</v>
      </c>
      <c r="E451">
        <v>489960</v>
      </c>
      <c r="F451">
        <v>5815595</v>
      </c>
      <c r="G451">
        <v>8.42</v>
      </c>
    </row>
    <row r="452" spans="1:7" x14ac:dyDescent="0.45">
      <c r="A452" t="s">
        <v>18</v>
      </c>
      <c r="B452">
        <v>2017</v>
      </c>
      <c r="C452" s="1">
        <v>44146</v>
      </c>
      <c r="D452" t="s">
        <v>8</v>
      </c>
      <c r="E452">
        <v>482525</v>
      </c>
      <c r="F452">
        <v>5037634</v>
      </c>
      <c r="G452">
        <v>9.58</v>
      </c>
    </row>
    <row r="453" spans="1:7" x14ac:dyDescent="0.45">
      <c r="A453" t="s">
        <v>19</v>
      </c>
      <c r="B453">
        <v>2017</v>
      </c>
      <c r="C453" s="1">
        <v>44146</v>
      </c>
      <c r="D453" t="s">
        <v>8</v>
      </c>
      <c r="E453">
        <v>69989</v>
      </c>
      <c r="F453">
        <v>613251</v>
      </c>
      <c r="G453">
        <v>11.41</v>
      </c>
    </row>
    <row r="454" spans="1:7" x14ac:dyDescent="0.45">
      <c r="A454" t="s">
        <v>20</v>
      </c>
      <c r="B454">
        <v>2017</v>
      </c>
      <c r="C454" s="1">
        <v>44146</v>
      </c>
      <c r="D454" t="s">
        <v>8</v>
      </c>
      <c r="E454">
        <v>1324361</v>
      </c>
      <c r="F454">
        <v>22572383</v>
      </c>
      <c r="G454">
        <v>5.87</v>
      </c>
    </row>
    <row r="455" spans="1:7" x14ac:dyDescent="0.45">
      <c r="A455" t="s">
        <v>21</v>
      </c>
      <c r="B455">
        <v>2017</v>
      </c>
      <c r="C455" s="1">
        <v>44146</v>
      </c>
      <c r="D455" t="s">
        <v>8</v>
      </c>
      <c r="E455">
        <v>413728</v>
      </c>
      <c r="F455">
        <v>7015247</v>
      </c>
      <c r="G455">
        <v>5.9</v>
      </c>
    </row>
    <row r="456" spans="1:7" x14ac:dyDescent="0.45">
      <c r="A456" t="s">
        <v>22</v>
      </c>
      <c r="B456">
        <v>2017</v>
      </c>
      <c r="C456" s="1">
        <v>44146</v>
      </c>
      <c r="D456" t="s">
        <v>8</v>
      </c>
      <c r="E456">
        <v>660604</v>
      </c>
      <c r="F456">
        <v>4805415</v>
      </c>
      <c r="G456">
        <v>13.75</v>
      </c>
    </row>
    <row r="457" spans="1:7" x14ac:dyDescent="0.45">
      <c r="A457" t="s">
        <v>7</v>
      </c>
      <c r="B457">
        <v>2017</v>
      </c>
      <c r="C457" s="1">
        <v>44146</v>
      </c>
      <c r="D457" t="s">
        <v>23</v>
      </c>
      <c r="E457">
        <v>25023</v>
      </c>
      <c r="F457">
        <v>593378</v>
      </c>
      <c r="G457">
        <v>4.22</v>
      </c>
    </row>
    <row r="458" spans="1:7" x14ac:dyDescent="0.45">
      <c r="A458" t="s">
        <v>9</v>
      </c>
      <c r="B458">
        <v>2017</v>
      </c>
      <c r="C458" s="1">
        <v>44146</v>
      </c>
      <c r="D458" t="s">
        <v>23</v>
      </c>
      <c r="E458">
        <v>57449</v>
      </c>
      <c r="F458">
        <v>2455022</v>
      </c>
      <c r="G458">
        <v>2.34</v>
      </c>
    </row>
    <row r="459" spans="1:7" x14ac:dyDescent="0.45">
      <c r="A459" t="s">
        <v>10</v>
      </c>
      <c r="B459">
        <v>2017</v>
      </c>
      <c r="C459" s="1">
        <v>44146</v>
      </c>
      <c r="D459" t="s">
        <v>23</v>
      </c>
      <c r="E459">
        <v>225626</v>
      </c>
      <c r="F459">
        <v>4634346</v>
      </c>
      <c r="G459">
        <v>4.87</v>
      </c>
    </row>
    <row r="460" spans="1:7" x14ac:dyDescent="0.45">
      <c r="A460" t="s">
        <v>11</v>
      </c>
      <c r="B460">
        <v>2017</v>
      </c>
      <c r="C460" s="1">
        <v>44146</v>
      </c>
      <c r="D460" t="s">
        <v>23</v>
      </c>
      <c r="E460">
        <v>186162</v>
      </c>
      <c r="F460">
        <v>3015481</v>
      </c>
      <c r="G460">
        <v>6.17</v>
      </c>
    </row>
    <row r="461" spans="1:7" x14ac:dyDescent="0.45">
      <c r="A461" t="s">
        <v>12</v>
      </c>
      <c r="B461">
        <v>2017</v>
      </c>
      <c r="C461" s="1">
        <v>44146</v>
      </c>
      <c r="D461" t="s">
        <v>23</v>
      </c>
      <c r="E461">
        <v>938838</v>
      </c>
      <c r="F461">
        <v>17722275</v>
      </c>
      <c r="G461">
        <v>5.3</v>
      </c>
    </row>
    <row r="462" spans="1:7" x14ac:dyDescent="0.45">
      <c r="A462" t="s">
        <v>13</v>
      </c>
      <c r="B462">
        <v>2017</v>
      </c>
      <c r="C462" s="1">
        <v>44146</v>
      </c>
      <c r="D462" t="s">
        <v>23</v>
      </c>
      <c r="E462">
        <v>478465</v>
      </c>
      <c r="F462">
        <v>10556100</v>
      </c>
      <c r="G462">
        <v>4.53</v>
      </c>
    </row>
    <row r="463" spans="1:7" x14ac:dyDescent="0.45">
      <c r="A463" t="s">
        <v>15</v>
      </c>
      <c r="B463">
        <v>2017</v>
      </c>
      <c r="C463" s="1">
        <v>44146</v>
      </c>
      <c r="D463" t="s">
        <v>23</v>
      </c>
      <c r="E463">
        <v>67967</v>
      </c>
      <c r="F463">
        <v>3670568</v>
      </c>
      <c r="G463">
        <v>1.85</v>
      </c>
    </row>
    <row r="464" spans="1:7" x14ac:dyDescent="0.45">
      <c r="A464" t="s">
        <v>16</v>
      </c>
      <c r="B464">
        <v>2017</v>
      </c>
      <c r="C464" s="1">
        <v>44146</v>
      </c>
      <c r="D464" t="s">
        <v>23</v>
      </c>
      <c r="E464">
        <v>123110</v>
      </c>
      <c r="F464">
        <v>3807282</v>
      </c>
      <c r="G464">
        <v>3.23</v>
      </c>
    </row>
    <row r="465" spans="1:7" x14ac:dyDescent="0.45">
      <c r="A465" t="s">
        <v>17</v>
      </c>
      <c r="B465">
        <v>2017</v>
      </c>
      <c r="C465" s="1">
        <v>44146</v>
      </c>
      <c r="D465" t="s">
        <v>23</v>
      </c>
      <c r="E465">
        <v>368970</v>
      </c>
      <c r="F465">
        <v>5815595</v>
      </c>
      <c r="G465">
        <v>6.34</v>
      </c>
    </row>
    <row r="466" spans="1:7" x14ac:dyDescent="0.45">
      <c r="A466" t="s">
        <v>18</v>
      </c>
      <c r="B466">
        <v>2017</v>
      </c>
      <c r="C466" s="1">
        <v>44146</v>
      </c>
      <c r="D466" t="s">
        <v>23</v>
      </c>
      <c r="E466">
        <v>185597</v>
      </c>
      <c r="F466">
        <v>5037634</v>
      </c>
      <c r="G466">
        <v>3.68</v>
      </c>
    </row>
    <row r="467" spans="1:7" x14ac:dyDescent="0.45">
      <c r="A467" t="s">
        <v>19</v>
      </c>
      <c r="B467">
        <v>2017</v>
      </c>
      <c r="C467" s="1">
        <v>44146</v>
      </c>
      <c r="D467" t="s">
        <v>23</v>
      </c>
      <c r="E467">
        <v>25010</v>
      </c>
      <c r="F467">
        <v>613251</v>
      </c>
      <c r="G467">
        <v>4.08</v>
      </c>
    </row>
    <row r="468" spans="1:7" x14ac:dyDescent="0.45">
      <c r="A468" t="s">
        <v>24</v>
      </c>
      <c r="B468">
        <v>2017</v>
      </c>
      <c r="C468" s="1">
        <v>44146</v>
      </c>
      <c r="D468" t="s">
        <v>23</v>
      </c>
      <c r="E468">
        <v>175320</v>
      </c>
      <c r="F468">
        <v>3468412</v>
      </c>
      <c r="G468">
        <v>5.05</v>
      </c>
    </row>
    <row r="469" spans="1:7" x14ac:dyDescent="0.45">
      <c r="A469" t="s">
        <v>20</v>
      </c>
      <c r="B469">
        <v>2017</v>
      </c>
      <c r="C469" s="1">
        <v>44146</v>
      </c>
      <c r="D469" t="s">
        <v>23</v>
      </c>
      <c r="E469">
        <v>732391</v>
      </c>
      <c r="F469">
        <v>22572383</v>
      </c>
      <c r="G469">
        <v>3.24</v>
      </c>
    </row>
    <row r="470" spans="1:7" x14ac:dyDescent="0.45">
      <c r="A470" t="s">
        <v>21</v>
      </c>
      <c r="B470">
        <v>2017</v>
      </c>
      <c r="C470" s="1">
        <v>44146</v>
      </c>
      <c r="D470" t="s">
        <v>23</v>
      </c>
      <c r="E470">
        <v>334051</v>
      </c>
      <c r="F470">
        <v>7015247</v>
      </c>
      <c r="G470">
        <v>4.76</v>
      </c>
    </row>
    <row r="471" spans="1:7" x14ac:dyDescent="0.45">
      <c r="A471" t="s">
        <v>22</v>
      </c>
      <c r="B471">
        <v>2017</v>
      </c>
      <c r="C471" s="1">
        <v>44146</v>
      </c>
      <c r="D471" t="s">
        <v>23</v>
      </c>
      <c r="E471">
        <v>179552</v>
      </c>
      <c r="F471">
        <v>4805415</v>
      </c>
      <c r="G471">
        <v>3.74</v>
      </c>
    </row>
    <row r="472" spans="1:7" x14ac:dyDescent="0.45">
      <c r="A472" t="s">
        <v>7</v>
      </c>
      <c r="B472">
        <v>2017</v>
      </c>
      <c r="C472" s="1">
        <v>44146</v>
      </c>
      <c r="D472" t="s">
        <v>25</v>
      </c>
      <c r="E472">
        <v>44491</v>
      </c>
      <c r="F472">
        <v>593378</v>
      </c>
      <c r="G472">
        <v>7.5</v>
      </c>
    </row>
    <row r="473" spans="1:7" x14ac:dyDescent="0.45">
      <c r="A473" t="s">
        <v>9</v>
      </c>
      <c r="B473">
        <v>2017</v>
      </c>
      <c r="C473" s="1">
        <v>44146</v>
      </c>
      <c r="D473" t="s">
        <v>25</v>
      </c>
      <c r="E473">
        <v>192734</v>
      </c>
      <c r="F473">
        <v>2455022</v>
      </c>
      <c r="G473">
        <v>7.85</v>
      </c>
    </row>
    <row r="474" spans="1:7" x14ac:dyDescent="0.45">
      <c r="A474" t="s">
        <v>10</v>
      </c>
      <c r="B474">
        <v>2017</v>
      </c>
      <c r="C474" s="1">
        <v>44146</v>
      </c>
      <c r="D474" t="s">
        <v>25</v>
      </c>
      <c r="E474">
        <v>419155</v>
      </c>
      <c r="F474">
        <v>4634346</v>
      </c>
      <c r="G474">
        <v>9.0399999999999991</v>
      </c>
    </row>
    <row r="475" spans="1:7" x14ac:dyDescent="0.45">
      <c r="A475" t="s">
        <v>11</v>
      </c>
      <c r="B475">
        <v>2017</v>
      </c>
      <c r="C475" s="1">
        <v>44146</v>
      </c>
      <c r="D475" t="s">
        <v>25</v>
      </c>
      <c r="E475">
        <v>191063</v>
      </c>
      <c r="F475">
        <v>3015481</v>
      </c>
      <c r="G475">
        <v>6.34</v>
      </c>
    </row>
    <row r="476" spans="1:7" x14ac:dyDescent="0.45">
      <c r="A476" t="s">
        <v>12</v>
      </c>
      <c r="B476">
        <v>2017</v>
      </c>
      <c r="C476" s="1">
        <v>44146</v>
      </c>
      <c r="D476" t="s">
        <v>25</v>
      </c>
      <c r="E476">
        <v>1591777</v>
      </c>
      <c r="F476">
        <v>17722275</v>
      </c>
      <c r="G476">
        <v>8.98</v>
      </c>
    </row>
    <row r="477" spans="1:7" x14ac:dyDescent="0.45">
      <c r="A477" t="s">
        <v>13</v>
      </c>
      <c r="B477">
        <v>2017</v>
      </c>
      <c r="C477" s="1">
        <v>44146</v>
      </c>
      <c r="D477" t="s">
        <v>25</v>
      </c>
      <c r="E477">
        <v>904517</v>
      </c>
      <c r="F477">
        <v>10556100</v>
      </c>
      <c r="G477">
        <v>8.57</v>
      </c>
    </row>
    <row r="478" spans="1:7" x14ac:dyDescent="0.45">
      <c r="A478" t="s">
        <v>14</v>
      </c>
      <c r="B478">
        <v>2017</v>
      </c>
      <c r="C478" s="1">
        <v>44146</v>
      </c>
      <c r="D478" t="s">
        <v>25</v>
      </c>
      <c r="E478">
        <v>166509</v>
      </c>
      <c r="F478">
        <v>2356231</v>
      </c>
      <c r="G478">
        <v>7.07</v>
      </c>
    </row>
    <row r="479" spans="1:7" x14ac:dyDescent="0.45">
      <c r="A479" t="s">
        <v>15</v>
      </c>
      <c r="B479">
        <v>2017</v>
      </c>
      <c r="C479" s="1">
        <v>44146</v>
      </c>
      <c r="D479" t="s">
        <v>25</v>
      </c>
      <c r="E479">
        <v>282331</v>
      </c>
      <c r="F479">
        <v>3670568</v>
      </c>
      <c r="G479">
        <v>7.69</v>
      </c>
    </row>
    <row r="480" spans="1:7" x14ac:dyDescent="0.45">
      <c r="A480" t="s">
        <v>17</v>
      </c>
      <c r="B480">
        <v>2017</v>
      </c>
      <c r="C480" s="1">
        <v>44146</v>
      </c>
      <c r="D480" t="s">
        <v>25</v>
      </c>
      <c r="E480">
        <v>422740</v>
      </c>
      <c r="F480">
        <v>5815595</v>
      </c>
      <c r="G480">
        <v>7.27</v>
      </c>
    </row>
    <row r="481" spans="1:7" x14ac:dyDescent="0.45">
      <c r="A481" t="s">
        <v>18</v>
      </c>
      <c r="B481">
        <v>2017</v>
      </c>
      <c r="C481" s="1">
        <v>44146</v>
      </c>
      <c r="D481" t="s">
        <v>25</v>
      </c>
      <c r="E481">
        <v>442579</v>
      </c>
      <c r="F481">
        <v>5037634</v>
      </c>
      <c r="G481">
        <v>8.7899999999999991</v>
      </c>
    </row>
    <row r="482" spans="1:7" x14ac:dyDescent="0.45">
      <c r="A482" t="s">
        <v>19</v>
      </c>
      <c r="B482">
        <v>2017</v>
      </c>
      <c r="C482" s="1">
        <v>44146</v>
      </c>
      <c r="D482" t="s">
        <v>25</v>
      </c>
      <c r="E482">
        <v>72835</v>
      </c>
      <c r="F482">
        <v>613251</v>
      </c>
      <c r="G482">
        <v>11.88</v>
      </c>
    </row>
    <row r="483" spans="1:7" x14ac:dyDescent="0.45">
      <c r="A483" t="s">
        <v>24</v>
      </c>
      <c r="B483">
        <v>2017</v>
      </c>
      <c r="C483" s="1">
        <v>44146</v>
      </c>
      <c r="D483" t="s">
        <v>25</v>
      </c>
      <c r="E483">
        <v>302802</v>
      </c>
      <c r="F483">
        <v>3468412</v>
      </c>
      <c r="G483">
        <v>8.73</v>
      </c>
    </row>
    <row r="484" spans="1:7" x14ac:dyDescent="0.45">
      <c r="A484" t="s">
        <v>20</v>
      </c>
      <c r="B484">
        <v>2017</v>
      </c>
      <c r="C484" s="1">
        <v>44146</v>
      </c>
      <c r="D484" t="s">
        <v>25</v>
      </c>
      <c r="E484">
        <v>2316102</v>
      </c>
      <c r="F484">
        <v>22572383</v>
      </c>
      <c r="G484">
        <v>10.26</v>
      </c>
    </row>
    <row r="485" spans="1:7" x14ac:dyDescent="0.45">
      <c r="A485" t="s">
        <v>21</v>
      </c>
      <c r="B485">
        <v>2017</v>
      </c>
      <c r="C485" s="1">
        <v>44146</v>
      </c>
      <c r="D485" t="s">
        <v>25</v>
      </c>
      <c r="E485">
        <v>545201</v>
      </c>
      <c r="F485">
        <v>7015247</v>
      </c>
      <c r="G485">
        <v>7.77</v>
      </c>
    </row>
    <row r="486" spans="1:7" x14ac:dyDescent="0.45">
      <c r="A486" t="s">
        <v>7</v>
      </c>
      <c r="B486">
        <v>2017</v>
      </c>
      <c r="C486" s="1">
        <v>44177</v>
      </c>
      <c r="D486" t="s">
        <v>8</v>
      </c>
      <c r="E486">
        <v>67433</v>
      </c>
      <c r="F486">
        <v>593378</v>
      </c>
      <c r="G486">
        <v>11.36</v>
      </c>
    </row>
    <row r="487" spans="1:7" x14ac:dyDescent="0.45">
      <c r="A487" t="s">
        <v>9</v>
      </c>
      <c r="B487">
        <v>2017</v>
      </c>
      <c r="C487" s="1">
        <v>44177</v>
      </c>
      <c r="D487" t="s">
        <v>8</v>
      </c>
      <c r="E487">
        <v>153625</v>
      </c>
      <c r="F487">
        <v>2455022</v>
      </c>
      <c r="G487">
        <v>6.26</v>
      </c>
    </row>
    <row r="488" spans="1:7" x14ac:dyDescent="0.45">
      <c r="A488" t="s">
        <v>10</v>
      </c>
      <c r="B488">
        <v>2017</v>
      </c>
      <c r="C488" s="1">
        <v>44177</v>
      </c>
      <c r="D488" t="s">
        <v>8</v>
      </c>
      <c r="E488">
        <v>646135</v>
      </c>
      <c r="F488">
        <v>4634346</v>
      </c>
      <c r="G488">
        <v>13.94</v>
      </c>
    </row>
    <row r="489" spans="1:7" x14ac:dyDescent="0.45">
      <c r="A489" t="s">
        <v>11</v>
      </c>
      <c r="B489">
        <v>2017</v>
      </c>
      <c r="C489" s="1">
        <v>44177</v>
      </c>
      <c r="D489" t="s">
        <v>8</v>
      </c>
      <c r="E489">
        <v>243436</v>
      </c>
      <c r="F489">
        <v>3015481</v>
      </c>
      <c r="G489">
        <v>8.07</v>
      </c>
    </row>
    <row r="490" spans="1:7" x14ac:dyDescent="0.45">
      <c r="A490" t="s">
        <v>12</v>
      </c>
      <c r="B490">
        <v>2017</v>
      </c>
      <c r="C490" s="1">
        <v>44177</v>
      </c>
      <c r="D490" t="s">
        <v>8</v>
      </c>
      <c r="E490">
        <v>2326231</v>
      </c>
      <c r="F490">
        <v>17722275</v>
      </c>
      <c r="G490">
        <v>13.13</v>
      </c>
    </row>
    <row r="491" spans="1:7" x14ac:dyDescent="0.45">
      <c r="A491" t="s">
        <v>13</v>
      </c>
      <c r="B491">
        <v>2017</v>
      </c>
      <c r="C491" s="1">
        <v>44177</v>
      </c>
      <c r="D491" t="s">
        <v>8</v>
      </c>
      <c r="E491">
        <v>1094431</v>
      </c>
      <c r="F491">
        <v>10556100</v>
      </c>
      <c r="G491">
        <v>10.37</v>
      </c>
    </row>
    <row r="492" spans="1:7" x14ac:dyDescent="0.45">
      <c r="A492" t="s">
        <v>14</v>
      </c>
      <c r="B492">
        <v>2017</v>
      </c>
      <c r="C492" s="1">
        <v>44177</v>
      </c>
      <c r="D492" t="s">
        <v>8</v>
      </c>
      <c r="E492">
        <v>169481</v>
      </c>
      <c r="F492">
        <v>2356231</v>
      </c>
      <c r="G492">
        <v>7.19</v>
      </c>
    </row>
    <row r="493" spans="1:7" x14ac:dyDescent="0.45">
      <c r="A493" t="s">
        <v>15</v>
      </c>
      <c r="B493">
        <v>2017</v>
      </c>
      <c r="C493" s="1">
        <v>44177</v>
      </c>
      <c r="D493" t="s">
        <v>8</v>
      </c>
      <c r="E493">
        <v>274670</v>
      </c>
      <c r="F493">
        <v>3670568</v>
      </c>
      <c r="G493">
        <v>7.48</v>
      </c>
    </row>
    <row r="494" spans="1:7" x14ac:dyDescent="0.45">
      <c r="A494" t="s">
        <v>16</v>
      </c>
      <c r="B494">
        <v>2017</v>
      </c>
      <c r="C494" s="1">
        <v>44177</v>
      </c>
      <c r="D494" t="s">
        <v>8</v>
      </c>
      <c r="E494">
        <v>400362</v>
      </c>
      <c r="F494">
        <v>3807282</v>
      </c>
      <c r="G494">
        <v>10.52</v>
      </c>
    </row>
    <row r="495" spans="1:7" x14ac:dyDescent="0.45">
      <c r="A495" t="s">
        <v>17</v>
      </c>
      <c r="B495">
        <v>2017</v>
      </c>
      <c r="C495" s="1">
        <v>44177</v>
      </c>
      <c r="D495" t="s">
        <v>8</v>
      </c>
      <c r="E495">
        <v>707646</v>
      </c>
      <c r="F495">
        <v>5815595</v>
      </c>
      <c r="G495">
        <v>12.17</v>
      </c>
    </row>
    <row r="496" spans="1:7" x14ac:dyDescent="0.45">
      <c r="A496" t="s">
        <v>18</v>
      </c>
      <c r="B496">
        <v>2017</v>
      </c>
      <c r="C496" s="1">
        <v>44177</v>
      </c>
      <c r="D496" t="s">
        <v>8</v>
      </c>
      <c r="E496">
        <v>468663</v>
      </c>
      <c r="F496">
        <v>5037634</v>
      </c>
      <c r="G496">
        <v>9.3000000000000007</v>
      </c>
    </row>
    <row r="497" spans="1:7" x14ac:dyDescent="0.45">
      <c r="A497" t="s">
        <v>19</v>
      </c>
      <c r="B497">
        <v>2017</v>
      </c>
      <c r="C497" s="1">
        <v>44177</v>
      </c>
      <c r="D497" t="s">
        <v>8</v>
      </c>
      <c r="E497">
        <v>81518</v>
      </c>
      <c r="F497">
        <v>613251</v>
      </c>
      <c r="G497">
        <v>13.29</v>
      </c>
    </row>
    <row r="498" spans="1:7" x14ac:dyDescent="0.45">
      <c r="A498" t="s">
        <v>20</v>
      </c>
      <c r="B498">
        <v>2017</v>
      </c>
      <c r="C498" s="1">
        <v>44177</v>
      </c>
      <c r="D498" t="s">
        <v>8</v>
      </c>
      <c r="E498">
        <v>1861099</v>
      </c>
      <c r="F498">
        <v>22572383</v>
      </c>
      <c r="G498">
        <v>8.25</v>
      </c>
    </row>
    <row r="499" spans="1:7" x14ac:dyDescent="0.45">
      <c r="A499" t="s">
        <v>21</v>
      </c>
      <c r="B499">
        <v>2017</v>
      </c>
      <c r="C499" s="1">
        <v>44177</v>
      </c>
      <c r="D499" t="s">
        <v>8</v>
      </c>
      <c r="E499">
        <v>524224</v>
      </c>
      <c r="F499">
        <v>7015247</v>
      </c>
      <c r="G499">
        <v>7.47</v>
      </c>
    </row>
    <row r="500" spans="1:7" x14ac:dyDescent="0.45">
      <c r="A500" t="s">
        <v>22</v>
      </c>
      <c r="B500">
        <v>2017</v>
      </c>
      <c r="C500" s="1">
        <v>44177</v>
      </c>
      <c r="D500" t="s">
        <v>8</v>
      </c>
      <c r="E500">
        <v>517552</v>
      </c>
      <c r="F500">
        <v>4805415</v>
      </c>
      <c r="G500">
        <v>10.77</v>
      </c>
    </row>
    <row r="501" spans="1:7" x14ac:dyDescent="0.45">
      <c r="A501" t="s">
        <v>7</v>
      </c>
      <c r="B501">
        <v>2017</v>
      </c>
      <c r="C501" s="1">
        <v>44177</v>
      </c>
      <c r="D501" t="s">
        <v>23</v>
      </c>
      <c r="E501">
        <v>28685</v>
      </c>
      <c r="F501">
        <v>593378</v>
      </c>
      <c r="G501">
        <v>4.83</v>
      </c>
    </row>
    <row r="502" spans="1:7" x14ac:dyDescent="0.45">
      <c r="A502" t="s">
        <v>9</v>
      </c>
      <c r="B502">
        <v>2017</v>
      </c>
      <c r="C502" s="1">
        <v>44177</v>
      </c>
      <c r="D502" t="s">
        <v>23</v>
      </c>
      <c r="E502">
        <v>58647</v>
      </c>
      <c r="F502">
        <v>2455022</v>
      </c>
      <c r="G502">
        <v>2.39</v>
      </c>
    </row>
    <row r="503" spans="1:7" x14ac:dyDescent="0.45">
      <c r="A503" t="s">
        <v>10</v>
      </c>
      <c r="B503">
        <v>2017</v>
      </c>
      <c r="C503" s="1">
        <v>44177</v>
      </c>
      <c r="D503" t="s">
        <v>23</v>
      </c>
      <c r="E503">
        <v>255828</v>
      </c>
      <c r="F503">
        <v>4634346</v>
      </c>
      <c r="G503">
        <v>5.52</v>
      </c>
    </row>
    <row r="504" spans="1:7" x14ac:dyDescent="0.45">
      <c r="A504" t="s">
        <v>11</v>
      </c>
      <c r="B504">
        <v>2017</v>
      </c>
      <c r="C504" s="1">
        <v>44177</v>
      </c>
      <c r="D504" t="s">
        <v>23</v>
      </c>
      <c r="E504">
        <v>175353</v>
      </c>
      <c r="F504">
        <v>3015481</v>
      </c>
      <c r="G504">
        <v>5.82</v>
      </c>
    </row>
    <row r="505" spans="1:7" x14ac:dyDescent="0.45">
      <c r="A505" t="s">
        <v>12</v>
      </c>
      <c r="B505">
        <v>2017</v>
      </c>
      <c r="C505" s="1">
        <v>44177</v>
      </c>
      <c r="D505" t="s">
        <v>23</v>
      </c>
      <c r="E505">
        <v>904268</v>
      </c>
      <c r="F505">
        <v>17722275</v>
      </c>
      <c r="G505">
        <v>5.0999999999999996</v>
      </c>
    </row>
    <row r="506" spans="1:7" x14ac:dyDescent="0.45">
      <c r="A506" t="s">
        <v>13</v>
      </c>
      <c r="B506">
        <v>2017</v>
      </c>
      <c r="C506" s="1">
        <v>44177</v>
      </c>
      <c r="D506" t="s">
        <v>23</v>
      </c>
      <c r="E506">
        <v>538400</v>
      </c>
      <c r="F506">
        <v>10556100</v>
      </c>
      <c r="G506">
        <v>5.0999999999999996</v>
      </c>
    </row>
    <row r="507" spans="1:7" x14ac:dyDescent="0.45">
      <c r="A507" t="s">
        <v>15</v>
      </c>
      <c r="B507">
        <v>2017</v>
      </c>
      <c r="C507" s="1">
        <v>44177</v>
      </c>
      <c r="D507" t="s">
        <v>23</v>
      </c>
      <c r="E507">
        <v>78083</v>
      </c>
      <c r="F507">
        <v>3670568</v>
      </c>
      <c r="G507">
        <v>2.13</v>
      </c>
    </row>
    <row r="508" spans="1:7" x14ac:dyDescent="0.45">
      <c r="A508" t="s">
        <v>16</v>
      </c>
      <c r="B508">
        <v>2017</v>
      </c>
      <c r="C508" s="1">
        <v>44177</v>
      </c>
      <c r="D508" t="s">
        <v>23</v>
      </c>
      <c r="E508">
        <v>136057</v>
      </c>
      <c r="F508">
        <v>3807282</v>
      </c>
      <c r="G508">
        <v>3.57</v>
      </c>
    </row>
    <row r="509" spans="1:7" x14ac:dyDescent="0.45">
      <c r="A509" t="s">
        <v>17</v>
      </c>
      <c r="B509">
        <v>2017</v>
      </c>
      <c r="C509" s="1">
        <v>44177</v>
      </c>
      <c r="D509" t="s">
        <v>23</v>
      </c>
      <c r="E509">
        <v>453625</v>
      </c>
      <c r="F509">
        <v>5815595</v>
      </c>
      <c r="G509">
        <v>7.8</v>
      </c>
    </row>
    <row r="510" spans="1:7" x14ac:dyDescent="0.45">
      <c r="A510" t="s">
        <v>18</v>
      </c>
      <c r="B510">
        <v>2017</v>
      </c>
      <c r="C510" s="1">
        <v>44177</v>
      </c>
      <c r="D510" t="s">
        <v>23</v>
      </c>
      <c r="E510">
        <v>175249</v>
      </c>
      <c r="F510">
        <v>5037634</v>
      </c>
      <c r="G510">
        <v>3.48</v>
      </c>
    </row>
    <row r="511" spans="1:7" x14ac:dyDescent="0.45">
      <c r="A511" t="s">
        <v>19</v>
      </c>
      <c r="B511">
        <v>2017</v>
      </c>
      <c r="C511" s="1">
        <v>44177</v>
      </c>
      <c r="D511" t="s">
        <v>23</v>
      </c>
      <c r="E511">
        <v>24817</v>
      </c>
      <c r="F511">
        <v>613251</v>
      </c>
      <c r="G511">
        <v>4.05</v>
      </c>
    </row>
    <row r="512" spans="1:7" x14ac:dyDescent="0.45">
      <c r="A512" t="s">
        <v>24</v>
      </c>
      <c r="B512">
        <v>2017</v>
      </c>
      <c r="C512" s="1">
        <v>44177</v>
      </c>
      <c r="D512" t="s">
        <v>23</v>
      </c>
      <c r="E512">
        <v>181188</v>
      </c>
      <c r="F512">
        <v>3468412</v>
      </c>
      <c r="G512">
        <v>5.22</v>
      </c>
    </row>
    <row r="513" spans="1:7" x14ac:dyDescent="0.45">
      <c r="A513" t="s">
        <v>20</v>
      </c>
      <c r="B513">
        <v>2017</v>
      </c>
      <c r="C513" s="1">
        <v>44177</v>
      </c>
      <c r="D513" t="s">
        <v>23</v>
      </c>
      <c r="E513">
        <v>731395</v>
      </c>
      <c r="F513">
        <v>22572383</v>
      </c>
      <c r="G513">
        <v>3.24</v>
      </c>
    </row>
    <row r="514" spans="1:7" x14ac:dyDescent="0.45">
      <c r="A514" t="s">
        <v>21</v>
      </c>
      <c r="B514">
        <v>2017</v>
      </c>
      <c r="C514" s="1">
        <v>44177</v>
      </c>
      <c r="D514" t="s">
        <v>23</v>
      </c>
      <c r="E514">
        <v>338920</v>
      </c>
      <c r="F514">
        <v>7015247</v>
      </c>
      <c r="G514">
        <v>4.83</v>
      </c>
    </row>
    <row r="515" spans="1:7" x14ac:dyDescent="0.45">
      <c r="A515" t="s">
        <v>22</v>
      </c>
      <c r="B515">
        <v>2017</v>
      </c>
      <c r="C515" s="1">
        <v>44177</v>
      </c>
      <c r="D515" t="s">
        <v>23</v>
      </c>
      <c r="E515">
        <v>195405</v>
      </c>
      <c r="F515">
        <v>4805415</v>
      </c>
      <c r="G515">
        <v>4.07</v>
      </c>
    </row>
    <row r="516" spans="1:7" x14ac:dyDescent="0.45">
      <c r="A516" t="s">
        <v>7</v>
      </c>
      <c r="B516">
        <v>2017</v>
      </c>
      <c r="C516" s="1">
        <v>44177</v>
      </c>
      <c r="D516" t="s">
        <v>25</v>
      </c>
      <c r="E516">
        <v>42832</v>
      </c>
      <c r="F516">
        <v>593378</v>
      </c>
      <c r="G516">
        <v>7.22</v>
      </c>
    </row>
    <row r="517" spans="1:7" x14ac:dyDescent="0.45">
      <c r="A517" t="s">
        <v>9</v>
      </c>
      <c r="B517">
        <v>2017</v>
      </c>
      <c r="C517" s="1">
        <v>44177</v>
      </c>
      <c r="D517" t="s">
        <v>25</v>
      </c>
      <c r="E517">
        <v>159974</v>
      </c>
      <c r="F517">
        <v>2455022</v>
      </c>
      <c r="G517">
        <v>6.52</v>
      </c>
    </row>
    <row r="518" spans="1:7" x14ac:dyDescent="0.45">
      <c r="A518" t="s">
        <v>10</v>
      </c>
      <c r="B518">
        <v>2017</v>
      </c>
      <c r="C518" s="1">
        <v>44177</v>
      </c>
      <c r="D518" t="s">
        <v>25</v>
      </c>
      <c r="E518">
        <v>402324</v>
      </c>
      <c r="F518">
        <v>4634346</v>
      </c>
      <c r="G518">
        <v>8.68</v>
      </c>
    </row>
    <row r="519" spans="1:7" x14ac:dyDescent="0.45">
      <c r="A519" t="s">
        <v>11</v>
      </c>
      <c r="B519">
        <v>2017</v>
      </c>
      <c r="C519" s="1">
        <v>44177</v>
      </c>
      <c r="D519" t="s">
        <v>25</v>
      </c>
      <c r="E519">
        <v>195039</v>
      </c>
      <c r="F519">
        <v>3015481</v>
      </c>
      <c r="G519">
        <v>6.47</v>
      </c>
    </row>
    <row r="520" spans="1:7" x14ac:dyDescent="0.45">
      <c r="A520" t="s">
        <v>12</v>
      </c>
      <c r="B520">
        <v>2017</v>
      </c>
      <c r="C520" s="1">
        <v>44177</v>
      </c>
      <c r="D520" t="s">
        <v>25</v>
      </c>
      <c r="E520">
        <v>1631385</v>
      </c>
      <c r="F520">
        <v>17722275</v>
      </c>
      <c r="G520">
        <v>9.2100000000000009</v>
      </c>
    </row>
    <row r="521" spans="1:7" x14ac:dyDescent="0.45">
      <c r="A521" t="s">
        <v>13</v>
      </c>
      <c r="B521">
        <v>2017</v>
      </c>
      <c r="C521" s="1">
        <v>44177</v>
      </c>
      <c r="D521" t="s">
        <v>25</v>
      </c>
      <c r="E521">
        <v>930655</v>
      </c>
      <c r="F521">
        <v>10556100</v>
      </c>
      <c r="G521">
        <v>8.82</v>
      </c>
    </row>
    <row r="522" spans="1:7" x14ac:dyDescent="0.45">
      <c r="A522" t="s">
        <v>14</v>
      </c>
      <c r="B522">
        <v>2017</v>
      </c>
      <c r="C522" s="1">
        <v>44177</v>
      </c>
      <c r="D522" t="s">
        <v>25</v>
      </c>
      <c r="E522">
        <v>200457</v>
      </c>
      <c r="F522">
        <v>2356231</v>
      </c>
      <c r="G522">
        <v>8.51</v>
      </c>
    </row>
    <row r="523" spans="1:7" x14ac:dyDescent="0.45">
      <c r="A523" t="s">
        <v>15</v>
      </c>
      <c r="B523">
        <v>2017</v>
      </c>
      <c r="C523" s="1">
        <v>44177</v>
      </c>
      <c r="D523" t="s">
        <v>25</v>
      </c>
      <c r="E523">
        <v>261359</v>
      </c>
      <c r="F523">
        <v>3670568</v>
      </c>
      <c r="G523">
        <v>7.12</v>
      </c>
    </row>
    <row r="524" spans="1:7" x14ac:dyDescent="0.45">
      <c r="A524" t="s">
        <v>17</v>
      </c>
      <c r="B524">
        <v>2017</v>
      </c>
      <c r="C524" s="1">
        <v>44177</v>
      </c>
      <c r="D524" t="s">
        <v>25</v>
      </c>
      <c r="E524">
        <v>408434</v>
      </c>
      <c r="F524">
        <v>5815595</v>
      </c>
      <c r="G524">
        <v>7.02</v>
      </c>
    </row>
    <row r="525" spans="1:7" x14ac:dyDescent="0.45">
      <c r="A525" t="s">
        <v>18</v>
      </c>
      <c r="B525">
        <v>2017</v>
      </c>
      <c r="C525" s="1">
        <v>44177</v>
      </c>
      <c r="D525" t="s">
        <v>25</v>
      </c>
      <c r="E525">
        <v>388067</v>
      </c>
      <c r="F525">
        <v>5037634</v>
      </c>
      <c r="G525">
        <v>7.7</v>
      </c>
    </row>
    <row r="526" spans="1:7" x14ac:dyDescent="0.45">
      <c r="A526" t="s">
        <v>19</v>
      </c>
      <c r="B526">
        <v>2017</v>
      </c>
      <c r="C526" s="1">
        <v>44177</v>
      </c>
      <c r="D526" t="s">
        <v>25</v>
      </c>
      <c r="E526">
        <v>56250</v>
      </c>
      <c r="F526">
        <v>613251</v>
      </c>
      <c r="G526">
        <v>9.17</v>
      </c>
    </row>
    <row r="527" spans="1:7" x14ac:dyDescent="0.45">
      <c r="A527" t="s">
        <v>24</v>
      </c>
      <c r="B527">
        <v>2017</v>
      </c>
      <c r="C527" s="1">
        <v>44177</v>
      </c>
      <c r="D527" t="s">
        <v>25</v>
      </c>
      <c r="E527">
        <v>308905</v>
      </c>
      <c r="F527">
        <v>3468412</v>
      </c>
      <c r="G527">
        <v>8.91</v>
      </c>
    </row>
    <row r="528" spans="1:7" x14ac:dyDescent="0.45">
      <c r="A528" t="s">
        <v>20</v>
      </c>
      <c r="B528">
        <v>2017</v>
      </c>
      <c r="C528" s="1">
        <v>44177</v>
      </c>
      <c r="D528" t="s">
        <v>25</v>
      </c>
      <c r="E528">
        <v>2765874</v>
      </c>
      <c r="F528">
        <v>22572383</v>
      </c>
      <c r="G528">
        <v>12.25</v>
      </c>
    </row>
    <row r="529" spans="1:7" x14ac:dyDescent="0.45">
      <c r="A529" t="s">
        <v>21</v>
      </c>
      <c r="B529">
        <v>2017</v>
      </c>
      <c r="C529" s="1">
        <v>44177</v>
      </c>
      <c r="D529" t="s">
        <v>25</v>
      </c>
      <c r="E529">
        <v>529290</v>
      </c>
      <c r="F529">
        <v>7015247</v>
      </c>
      <c r="G529">
        <v>7.54</v>
      </c>
    </row>
    <row r="530" spans="1:7" x14ac:dyDescent="0.45">
      <c r="A530" t="s">
        <v>7</v>
      </c>
      <c r="B530">
        <v>2018</v>
      </c>
      <c r="C530" s="1">
        <v>43831</v>
      </c>
      <c r="D530" t="s">
        <v>8</v>
      </c>
      <c r="E530">
        <v>40474</v>
      </c>
      <c r="F530">
        <v>590760</v>
      </c>
      <c r="G530">
        <v>6.85</v>
      </c>
    </row>
    <row r="531" spans="1:7" x14ac:dyDescent="0.45">
      <c r="A531" t="s">
        <v>9</v>
      </c>
      <c r="B531">
        <v>2018</v>
      </c>
      <c r="C531" s="1">
        <v>43831</v>
      </c>
      <c r="D531" t="s">
        <v>8</v>
      </c>
      <c r="E531">
        <v>133187</v>
      </c>
      <c r="F531">
        <v>2465297</v>
      </c>
      <c r="G531">
        <v>5.4</v>
      </c>
    </row>
    <row r="532" spans="1:7" x14ac:dyDescent="0.45">
      <c r="A532" t="s">
        <v>10</v>
      </c>
      <c r="B532">
        <v>2018</v>
      </c>
      <c r="C532" s="1">
        <v>43831</v>
      </c>
      <c r="D532" t="s">
        <v>8</v>
      </c>
      <c r="E532">
        <v>336126</v>
      </c>
      <c r="F532">
        <v>4715895</v>
      </c>
      <c r="G532">
        <v>7.13</v>
      </c>
    </row>
    <row r="533" spans="1:7" x14ac:dyDescent="0.45">
      <c r="A533" t="s">
        <v>11</v>
      </c>
      <c r="B533">
        <v>2018</v>
      </c>
      <c r="C533" s="1">
        <v>43831</v>
      </c>
      <c r="D533" t="s">
        <v>8</v>
      </c>
      <c r="E533">
        <v>185030</v>
      </c>
      <c r="F533">
        <v>3019150</v>
      </c>
      <c r="G533">
        <v>6.13</v>
      </c>
    </row>
    <row r="534" spans="1:7" x14ac:dyDescent="0.45">
      <c r="A534" t="s">
        <v>12</v>
      </c>
      <c r="B534">
        <v>2018</v>
      </c>
      <c r="C534" s="1">
        <v>43831</v>
      </c>
      <c r="D534" t="s">
        <v>8</v>
      </c>
      <c r="E534">
        <v>1245453</v>
      </c>
      <c r="F534">
        <v>17980787</v>
      </c>
      <c r="G534">
        <v>6.93</v>
      </c>
    </row>
    <row r="535" spans="1:7" x14ac:dyDescent="0.45">
      <c r="A535" t="s">
        <v>13</v>
      </c>
      <c r="B535">
        <v>2018</v>
      </c>
      <c r="C535" s="1">
        <v>43831</v>
      </c>
      <c r="D535" t="s">
        <v>8</v>
      </c>
      <c r="E535">
        <v>463274</v>
      </c>
      <c r="F535">
        <v>10533371</v>
      </c>
      <c r="G535">
        <v>4.4000000000000004</v>
      </c>
    </row>
    <row r="536" spans="1:7" x14ac:dyDescent="0.45">
      <c r="A536" t="s">
        <v>14</v>
      </c>
      <c r="B536">
        <v>2018</v>
      </c>
      <c r="C536" s="1">
        <v>43831</v>
      </c>
      <c r="D536" t="s">
        <v>8</v>
      </c>
      <c r="E536">
        <v>126814</v>
      </c>
      <c r="F536">
        <v>2364319</v>
      </c>
      <c r="G536">
        <v>5.36</v>
      </c>
    </row>
    <row r="537" spans="1:7" x14ac:dyDescent="0.45">
      <c r="A537" t="s">
        <v>15</v>
      </c>
      <c r="B537">
        <v>2018</v>
      </c>
      <c r="C537" s="1">
        <v>43831</v>
      </c>
      <c r="D537" t="s">
        <v>8</v>
      </c>
      <c r="E537">
        <v>314303</v>
      </c>
      <c r="F537">
        <v>3681254</v>
      </c>
      <c r="G537">
        <v>8.5399999999999991</v>
      </c>
    </row>
    <row r="538" spans="1:7" x14ac:dyDescent="0.45">
      <c r="A538" t="s">
        <v>16</v>
      </c>
      <c r="B538">
        <v>2018</v>
      </c>
      <c r="C538" s="1">
        <v>43831</v>
      </c>
      <c r="D538" t="s">
        <v>8</v>
      </c>
      <c r="E538">
        <v>290228</v>
      </c>
      <c r="F538">
        <v>3803169</v>
      </c>
      <c r="G538">
        <v>7.63</v>
      </c>
    </row>
    <row r="539" spans="1:7" x14ac:dyDescent="0.45">
      <c r="A539" t="s">
        <v>17</v>
      </c>
      <c r="B539">
        <v>2018</v>
      </c>
      <c r="C539" s="1">
        <v>43831</v>
      </c>
      <c r="D539" t="s">
        <v>8</v>
      </c>
      <c r="E539">
        <v>261946</v>
      </c>
      <c r="F539">
        <v>5844357</v>
      </c>
      <c r="G539">
        <v>4.4800000000000004</v>
      </c>
    </row>
    <row r="540" spans="1:7" x14ac:dyDescent="0.45">
      <c r="A540" t="s">
        <v>18</v>
      </c>
      <c r="B540">
        <v>2018</v>
      </c>
      <c r="C540" s="1">
        <v>43831</v>
      </c>
      <c r="D540" t="s">
        <v>8</v>
      </c>
      <c r="E540">
        <v>279055</v>
      </c>
      <c r="F540">
        <v>5056750</v>
      </c>
      <c r="G540">
        <v>5.52</v>
      </c>
    </row>
    <row r="541" spans="1:7" x14ac:dyDescent="0.45">
      <c r="A541" t="s">
        <v>19</v>
      </c>
      <c r="B541">
        <v>2018</v>
      </c>
      <c r="C541" s="1">
        <v>43831</v>
      </c>
      <c r="D541" t="s">
        <v>8</v>
      </c>
      <c r="E541">
        <v>54285</v>
      </c>
      <c r="F541">
        <v>615077</v>
      </c>
      <c r="G541">
        <v>8.83</v>
      </c>
    </row>
    <row r="542" spans="1:7" x14ac:dyDescent="0.45">
      <c r="A542" t="s">
        <v>20</v>
      </c>
      <c r="B542">
        <v>2018</v>
      </c>
      <c r="C542" s="1">
        <v>43831</v>
      </c>
      <c r="D542" t="s">
        <v>8</v>
      </c>
      <c r="E542">
        <v>1612663</v>
      </c>
      <c r="F542">
        <v>22899863</v>
      </c>
      <c r="G542">
        <v>7.04</v>
      </c>
    </row>
    <row r="543" spans="1:7" x14ac:dyDescent="0.45">
      <c r="A543" t="s">
        <v>21</v>
      </c>
      <c r="B543">
        <v>2018</v>
      </c>
      <c r="C543" s="1">
        <v>43831</v>
      </c>
      <c r="D543" t="s">
        <v>8</v>
      </c>
      <c r="E543">
        <v>339915</v>
      </c>
      <c r="F543">
        <v>7056421</v>
      </c>
      <c r="G543">
        <v>4.82</v>
      </c>
    </row>
    <row r="544" spans="1:7" x14ac:dyDescent="0.45">
      <c r="A544" t="s">
        <v>22</v>
      </c>
      <c r="B544">
        <v>2018</v>
      </c>
      <c r="C544" s="1">
        <v>43831</v>
      </c>
      <c r="D544" t="s">
        <v>8</v>
      </c>
      <c r="E544">
        <v>559264</v>
      </c>
      <c r="F544">
        <v>4829270</v>
      </c>
      <c r="G544">
        <v>11.58</v>
      </c>
    </row>
    <row r="545" spans="1:7" x14ac:dyDescent="0.45">
      <c r="A545" t="s">
        <v>7</v>
      </c>
      <c r="B545">
        <v>2018</v>
      </c>
      <c r="C545" s="1">
        <v>43831</v>
      </c>
      <c r="D545" t="s">
        <v>23</v>
      </c>
      <c r="E545">
        <v>18400</v>
      </c>
      <c r="F545">
        <v>590760</v>
      </c>
      <c r="G545">
        <v>3.11</v>
      </c>
    </row>
    <row r="546" spans="1:7" x14ac:dyDescent="0.45">
      <c r="A546" t="s">
        <v>9</v>
      </c>
      <c r="B546">
        <v>2018</v>
      </c>
      <c r="C546" s="1">
        <v>43831</v>
      </c>
      <c r="D546" t="s">
        <v>23</v>
      </c>
      <c r="E546">
        <v>59547</v>
      </c>
      <c r="F546">
        <v>2465297</v>
      </c>
      <c r="G546">
        <v>2.42</v>
      </c>
    </row>
    <row r="547" spans="1:7" x14ac:dyDescent="0.45">
      <c r="A547" t="s">
        <v>10</v>
      </c>
      <c r="B547">
        <v>2018</v>
      </c>
      <c r="C547" s="1">
        <v>43831</v>
      </c>
      <c r="D547" t="s">
        <v>23</v>
      </c>
      <c r="E547">
        <v>156069</v>
      </c>
      <c r="F547">
        <v>4715895</v>
      </c>
      <c r="G547">
        <v>3.31</v>
      </c>
    </row>
    <row r="548" spans="1:7" x14ac:dyDescent="0.45">
      <c r="A548" t="s">
        <v>11</v>
      </c>
      <c r="B548">
        <v>2018</v>
      </c>
      <c r="C548" s="1">
        <v>43831</v>
      </c>
      <c r="D548" t="s">
        <v>23</v>
      </c>
      <c r="E548">
        <v>113165</v>
      </c>
      <c r="F548">
        <v>3019150</v>
      </c>
      <c r="G548">
        <v>3.75</v>
      </c>
    </row>
    <row r="549" spans="1:7" x14ac:dyDescent="0.45">
      <c r="A549" t="s">
        <v>12</v>
      </c>
      <c r="B549">
        <v>2018</v>
      </c>
      <c r="C549" s="1">
        <v>43831</v>
      </c>
      <c r="D549" t="s">
        <v>23</v>
      </c>
      <c r="E549">
        <v>785126</v>
      </c>
      <c r="F549">
        <v>17980787</v>
      </c>
      <c r="G549">
        <v>4.37</v>
      </c>
    </row>
    <row r="550" spans="1:7" x14ac:dyDescent="0.45">
      <c r="A550" t="s">
        <v>13</v>
      </c>
      <c r="B550">
        <v>2018</v>
      </c>
      <c r="C550" s="1">
        <v>43831</v>
      </c>
      <c r="D550" t="s">
        <v>23</v>
      </c>
      <c r="E550">
        <v>293673</v>
      </c>
      <c r="F550">
        <v>10533371</v>
      </c>
      <c r="G550">
        <v>2.79</v>
      </c>
    </row>
    <row r="551" spans="1:7" x14ac:dyDescent="0.45">
      <c r="A551" t="s">
        <v>15</v>
      </c>
      <c r="B551">
        <v>2018</v>
      </c>
      <c r="C551" s="1">
        <v>43831</v>
      </c>
      <c r="D551" t="s">
        <v>23</v>
      </c>
      <c r="E551">
        <v>95200</v>
      </c>
      <c r="F551">
        <v>3681254</v>
      </c>
      <c r="G551">
        <v>2.59</v>
      </c>
    </row>
    <row r="552" spans="1:7" x14ac:dyDescent="0.45">
      <c r="A552" t="s">
        <v>16</v>
      </c>
      <c r="B552">
        <v>2018</v>
      </c>
      <c r="C552" s="1">
        <v>43831</v>
      </c>
      <c r="D552" t="s">
        <v>23</v>
      </c>
      <c r="E552">
        <v>97638</v>
      </c>
      <c r="F552">
        <v>3803169</v>
      </c>
      <c r="G552">
        <v>2.57</v>
      </c>
    </row>
    <row r="553" spans="1:7" x14ac:dyDescent="0.45">
      <c r="A553" t="s">
        <v>17</v>
      </c>
      <c r="B553">
        <v>2018</v>
      </c>
      <c r="C553" s="1">
        <v>43831</v>
      </c>
      <c r="D553" t="s">
        <v>23</v>
      </c>
      <c r="E553">
        <v>187796</v>
      </c>
      <c r="F553">
        <v>5844357</v>
      </c>
      <c r="G553">
        <v>3.21</v>
      </c>
    </row>
    <row r="554" spans="1:7" x14ac:dyDescent="0.45">
      <c r="A554" t="s">
        <v>18</v>
      </c>
      <c r="B554">
        <v>2018</v>
      </c>
      <c r="C554" s="1">
        <v>43831</v>
      </c>
      <c r="D554" t="s">
        <v>23</v>
      </c>
      <c r="E554">
        <v>142493</v>
      </c>
      <c r="F554">
        <v>5056750</v>
      </c>
      <c r="G554">
        <v>2.82</v>
      </c>
    </row>
    <row r="555" spans="1:7" x14ac:dyDescent="0.45">
      <c r="A555" t="s">
        <v>19</v>
      </c>
      <c r="B555">
        <v>2018</v>
      </c>
      <c r="C555" s="1">
        <v>43831</v>
      </c>
      <c r="D555" t="s">
        <v>23</v>
      </c>
      <c r="E555">
        <v>11893</v>
      </c>
      <c r="F555">
        <v>615077</v>
      </c>
      <c r="G555">
        <v>1.93</v>
      </c>
    </row>
    <row r="556" spans="1:7" x14ac:dyDescent="0.45">
      <c r="A556" t="s">
        <v>24</v>
      </c>
      <c r="B556">
        <v>2018</v>
      </c>
      <c r="C556" s="1">
        <v>43831</v>
      </c>
      <c r="D556" t="s">
        <v>23</v>
      </c>
      <c r="E556">
        <v>168784</v>
      </c>
      <c r="F556">
        <v>3509161</v>
      </c>
      <c r="G556">
        <v>4.8099999999999996</v>
      </c>
    </row>
    <row r="557" spans="1:7" x14ac:dyDescent="0.45">
      <c r="A557" t="s">
        <v>20</v>
      </c>
      <c r="B557">
        <v>2018</v>
      </c>
      <c r="C557" s="1">
        <v>43831</v>
      </c>
      <c r="D557" t="s">
        <v>23</v>
      </c>
      <c r="E557">
        <v>751321</v>
      </c>
      <c r="F557">
        <v>22899863</v>
      </c>
      <c r="G557">
        <v>3.28</v>
      </c>
    </row>
    <row r="558" spans="1:7" x14ac:dyDescent="0.45">
      <c r="A558" t="s">
        <v>21</v>
      </c>
      <c r="B558">
        <v>2018</v>
      </c>
      <c r="C558" s="1">
        <v>43831</v>
      </c>
      <c r="D558" t="s">
        <v>23</v>
      </c>
      <c r="E558">
        <v>255328</v>
      </c>
      <c r="F558">
        <v>7056421</v>
      </c>
      <c r="G558">
        <v>3.62</v>
      </c>
    </row>
    <row r="559" spans="1:7" x14ac:dyDescent="0.45">
      <c r="A559" t="s">
        <v>22</v>
      </c>
      <c r="B559">
        <v>2018</v>
      </c>
      <c r="C559" s="1">
        <v>43831</v>
      </c>
      <c r="D559" t="s">
        <v>23</v>
      </c>
      <c r="E559">
        <v>160868</v>
      </c>
      <c r="F559">
        <v>4829270</v>
      </c>
      <c r="G559">
        <v>3.33</v>
      </c>
    </row>
    <row r="560" spans="1:7" x14ac:dyDescent="0.45">
      <c r="A560" t="s">
        <v>7</v>
      </c>
      <c r="B560">
        <v>2018</v>
      </c>
      <c r="C560" s="1">
        <v>43831</v>
      </c>
      <c r="D560" t="s">
        <v>25</v>
      </c>
      <c r="E560">
        <v>38406</v>
      </c>
      <c r="F560">
        <v>590760</v>
      </c>
      <c r="G560">
        <v>6.5</v>
      </c>
    </row>
    <row r="561" spans="1:7" x14ac:dyDescent="0.45">
      <c r="A561" t="s">
        <v>9</v>
      </c>
      <c r="B561">
        <v>2018</v>
      </c>
      <c r="C561" s="1">
        <v>43831</v>
      </c>
      <c r="D561" t="s">
        <v>25</v>
      </c>
      <c r="E561">
        <v>154479</v>
      </c>
      <c r="F561">
        <v>2465297</v>
      </c>
      <c r="G561">
        <v>6.27</v>
      </c>
    </row>
    <row r="562" spans="1:7" x14ac:dyDescent="0.45">
      <c r="A562" t="s">
        <v>10</v>
      </c>
      <c r="B562">
        <v>2018</v>
      </c>
      <c r="C562" s="1">
        <v>43831</v>
      </c>
      <c r="D562" t="s">
        <v>25</v>
      </c>
      <c r="E562">
        <v>369988</v>
      </c>
      <c r="F562">
        <v>4715895</v>
      </c>
      <c r="G562">
        <v>7.85</v>
      </c>
    </row>
    <row r="563" spans="1:7" x14ac:dyDescent="0.45">
      <c r="A563" t="s">
        <v>11</v>
      </c>
      <c r="B563">
        <v>2018</v>
      </c>
      <c r="C563" s="1">
        <v>43831</v>
      </c>
      <c r="D563" t="s">
        <v>25</v>
      </c>
      <c r="E563">
        <v>156397</v>
      </c>
      <c r="F563">
        <v>3019150</v>
      </c>
      <c r="G563">
        <v>5.18</v>
      </c>
    </row>
    <row r="564" spans="1:7" x14ac:dyDescent="0.45">
      <c r="A564" t="s">
        <v>12</v>
      </c>
      <c r="B564">
        <v>2018</v>
      </c>
      <c r="C564" s="1">
        <v>43831</v>
      </c>
      <c r="D564" t="s">
        <v>25</v>
      </c>
      <c r="E564">
        <v>1388555</v>
      </c>
      <c r="F564">
        <v>17980787</v>
      </c>
      <c r="G564">
        <v>7.72</v>
      </c>
    </row>
    <row r="565" spans="1:7" x14ac:dyDescent="0.45">
      <c r="A565" t="s">
        <v>13</v>
      </c>
      <c r="B565">
        <v>2018</v>
      </c>
      <c r="C565" s="1">
        <v>43831</v>
      </c>
      <c r="D565" t="s">
        <v>25</v>
      </c>
      <c r="E565">
        <v>733135</v>
      </c>
      <c r="F565">
        <v>10533371</v>
      </c>
      <c r="G565">
        <v>6.96</v>
      </c>
    </row>
    <row r="566" spans="1:7" x14ac:dyDescent="0.45">
      <c r="A566" t="s">
        <v>14</v>
      </c>
      <c r="B566">
        <v>2018</v>
      </c>
      <c r="C566" s="1">
        <v>43831</v>
      </c>
      <c r="D566" t="s">
        <v>25</v>
      </c>
      <c r="E566">
        <v>156936</v>
      </c>
      <c r="F566">
        <v>2364319</v>
      </c>
      <c r="G566">
        <v>6.64</v>
      </c>
    </row>
    <row r="567" spans="1:7" x14ac:dyDescent="0.45">
      <c r="A567" t="s">
        <v>15</v>
      </c>
      <c r="B567">
        <v>2018</v>
      </c>
      <c r="C567" s="1">
        <v>43831</v>
      </c>
      <c r="D567" t="s">
        <v>25</v>
      </c>
      <c r="E567">
        <v>234887</v>
      </c>
      <c r="F567">
        <v>3681254</v>
      </c>
      <c r="G567">
        <v>6.38</v>
      </c>
    </row>
    <row r="568" spans="1:7" x14ac:dyDescent="0.45">
      <c r="A568" t="s">
        <v>17</v>
      </c>
      <c r="B568">
        <v>2018</v>
      </c>
      <c r="C568" s="1">
        <v>43831</v>
      </c>
      <c r="D568" t="s">
        <v>25</v>
      </c>
      <c r="E568">
        <v>385707</v>
      </c>
      <c r="F568">
        <v>5844357</v>
      </c>
      <c r="G568">
        <v>6.6</v>
      </c>
    </row>
    <row r="569" spans="1:7" x14ac:dyDescent="0.45">
      <c r="A569" t="s">
        <v>18</v>
      </c>
      <c r="B569">
        <v>2018</v>
      </c>
      <c r="C569" s="1">
        <v>43831</v>
      </c>
      <c r="D569" t="s">
        <v>25</v>
      </c>
      <c r="E569">
        <v>388586</v>
      </c>
      <c r="F569">
        <v>5056750</v>
      </c>
      <c r="G569">
        <v>7.68</v>
      </c>
    </row>
    <row r="570" spans="1:7" x14ac:dyDescent="0.45">
      <c r="A570" t="s">
        <v>19</v>
      </c>
      <c r="B570">
        <v>2018</v>
      </c>
      <c r="C570" s="1">
        <v>43831</v>
      </c>
      <c r="D570" t="s">
        <v>25</v>
      </c>
      <c r="E570">
        <v>72033</v>
      </c>
      <c r="F570">
        <v>615077</v>
      </c>
      <c r="G570">
        <v>11.71</v>
      </c>
    </row>
    <row r="571" spans="1:7" x14ac:dyDescent="0.45">
      <c r="A571" t="s">
        <v>24</v>
      </c>
      <c r="B571">
        <v>2018</v>
      </c>
      <c r="C571" s="1">
        <v>43831</v>
      </c>
      <c r="D571" t="s">
        <v>25</v>
      </c>
      <c r="E571">
        <v>268267</v>
      </c>
      <c r="F571">
        <v>3509161</v>
      </c>
      <c r="G571">
        <v>7.64</v>
      </c>
    </row>
    <row r="572" spans="1:7" x14ac:dyDescent="0.45">
      <c r="A572" t="s">
        <v>20</v>
      </c>
      <c r="B572">
        <v>2018</v>
      </c>
      <c r="C572" s="1">
        <v>43831</v>
      </c>
      <c r="D572" t="s">
        <v>25</v>
      </c>
      <c r="E572">
        <v>2246276</v>
      </c>
      <c r="F572">
        <v>22899863</v>
      </c>
      <c r="G572">
        <v>9.81</v>
      </c>
    </row>
    <row r="573" spans="1:7" x14ac:dyDescent="0.45">
      <c r="A573" t="s">
        <v>21</v>
      </c>
      <c r="B573">
        <v>2018</v>
      </c>
      <c r="C573" s="1">
        <v>43831</v>
      </c>
      <c r="D573" t="s">
        <v>25</v>
      </c>
      <c r="E573">
        <v>465210</v>
      </c>
      <c r="F573">
        <v>7056421</v>
      </c>
      <c r="G573">
        <v>6.59</v>
      </c>
    </row>
    <row r="574" spans="1:7" x14ac:dyDescent="0.45">
      <c r="A574" t="s">
        <v>7</v>
      </c>
      <c r="B574">
        <v>2018</v>
      </c>
      <c r="C574" s="1">
        <v>43863</v>
      </c>
      <c r="D574" t="s">
        <v>8</v>
      </c>
      <c r="E574">
        <v>47469</v>
      </c>
      <c r="F574">
        <v>590760</v>
      </c>
      <c r="G574">
        <v>8.0399999999999991</v>
      </c>
    </row>
    <row r="575" spans="1:7" x14ac:dyDescent="0.45">
      <c r="A575" t="s">
        <v>9</v>
      </c>
      <c r="B575">
        <v>2018</v>
      </c>
      <c r="C575" s="1">
        <v>43863</v>
      </c>
      <c r="D575" t="s">
        <v>8</v>
      </c>
      <c r="E575">
        <v>108309</v>
      </c>
      <c r="F575">
        <v>2465297</v>
      </c>
      <c r="G575">
        <v>4.3899999999999997</v>
      </c>
    </row>
    <row r="576" spans="1:7" x14ac:dyDescent="0.45">
      <c r="A576" t="s">
        <v>10</v>
      </c>
      <c r="B576">
        <v>2018</v>
      </c>
      <c r="C576" s="1">
        <v>43863</v>
      </c>
      <c r="D576" t="s">
        <v>8</v>
      </c>
      <c r="E576">
        <v>388788</v>
      </c>
      <c r="F576">
        <v>4715895</v>
      </c>
      <c r="G576">
        <v>8.24</v>
      </c>
    </row>
    <row r="577" spans="1:7" x14ac:dyDescent="0.45">
      <c r="A577" t="s">
        <v>11</v>
      </c>
      <c r="B577">
        <v>2018</v>
      </c>
      <c r="C577" s="1">
        <v>43863</v>
      </c>
      <c r="D577" t="s">
        <v>8</v>
      </c>
      <c r="E577">
        <v>239377</v>
      </c>
      <c r="F577">
        <v>3019150</v>
      </c>
      <c r="G577">
        <v>7.93</v>
      </c>
    </row>
    <row r="578" spans="1:7" x14ac:dyDescent="0.45">
      <c r="A578" t="s">
        <v>12</v>
      </c>
      <c r="B578">
        <v>2018</v>
      </c>
      <c r="C578" s="1">
        <v>43863</v>
      </c>
      <c r="D578" t="s">
        <v>8</v>
      </c>
      <c r="E578">
        <v>1382215</v>
      </c>
      <c r="F578">
        <v>17980787</v>
      </c>
      <c r="G578">
        <v>7.69</v>
      </c>
    </row>
    <row r="579" spans="1:7" x14ac:dyDescent="0.45">
      <c r="A579" t="s">
        <v>13</v>
      </c>
      <c r="B579">
        <v>2018</v>
      </c>
      <c r="C579" s="1">
        <v>43863</v>
      </c>
      <c r="D579" t="s">
        <v>8</v>
      </c>
      <c r="E579">
        <v>597226</v>
      </c>
      <c r="F579">
        <v>10533371</v>
      </c>
      <c r="G579">
        <v>5.67</v>
      </c>
    </row>
    <row r="580" spans="1:7" x14ac:dyDescent="0.45">
      <c r="A580" t="s">
        <v>14</v>
      </c>
      <c r="B580">
        <v>2018</v>
      </c>
      <c r="C580" s="1">
        <v>43863</v>
      </c>
      <c r="D580" t="s">
        <v>8</v>
      </c>
      <c r="E580">
        <v>129087</v>
      </c>
      <c r="F580">
        <v>2364319</v>
      </c>
      <c r="G580">
        <v>5.46</v>
      </c>
    </row>
    <row r="581" spans="1:7" x14ac:dyDescent="0.45">
      <c r="A581" t="s">
        <v>15</v>
      </c>
      <c r="B581">
        <v>2018</v>
      </c>
      <c r="C581" s="1">
        <v>43863</v>
      </c>
      <c r="D581" t="s">
        <v>8</v>
      </c>
      <c r="E581">
        <v>190798</v>
      </c>
      <c r="F581">
        <v>3681254</v>
      </c>
      <c r="G581">
        <v>5.18</v>
      </c>
    </row>
    <row r="582" spans="1:7" x14ac:dyDescent="0.45">
      <c r="A582" t="s">
        <v>16</v>
      </c>
      <c r="B582">
        <v>2018</v>
      </c>
      <c r="C582" s="1">
        <v>43863</v>
      </c>
      <c r="D582" t="s">
        <v>8</v>
      </c>
      <c r="E582">
        <v>290895</v>
      </c>
      <c r="F582">
        <v>3803169</v>
      </c>
      <c r="G582">
        <v>7.65</v>
      </c>
    </row>
    <row r="583" spans="1:7" x14ac:dyDescent="0.45">
      <c r="A583" t="s">
        <v>17</v>
      </c>
      <c r="B583">
        <v>2018</v>
      </c>
      <c r="C583" s="1">
        <v>43863</v>
      </c>
      <c r="D583" t="s">
        <v>8</v>
      </c>
      <c r="E583">
        <v>343821</v>
      </c>
      <c r="F583">
        <v>5844357</v>
      </c>
      <c r="G583">
        <v>5.88</v>
      </c>
    </row>
    <row r="584" spans="1:7" x14ac:dyDescent="0.45">
      <c r="A584" t="s">
        <v>18</v>
      </c>
      <c r="B584">
        <v>2018</v>
      </c>
      <c r="C584" s="1">
        <v>43863</v>
      </c>
      <c r="D584" t="s">
        <v>8</v>
      </c>
      <c r="E584">
        <v>372179</v>
      </c>
      <c r="F584">
        <v>5056750</v>
      </c>
      <c r="G584">
        <v>7.36</v>
      </c>
    </row>
    <row r="585" spans="1:7" x14ac:dyDescent="0.45">
      <c r="A585" t="s">
        <v>19</v>
      </c>
      <c r="B585">
        <v>2018</v>
      </c>
      <c r="C585" s="1">
        <v>43863</v>
      </c>
      <c r="D585" t="s">
        <v>8</v>
      </c>
      <c r="E585">
        <v>59670</v>
      </c>
      <c r="F585">
        <v>615077</v>
      </c>
      <c r="G585">
        <v>9.6999999999999993</v>
      </c>
    </row>
    <row r="586" spans="1:7" x14ac:dyDescent="0.45">
      <c r="A586" t="s">
        <v>20</v>
      </c>
      <c r="B586">
        <v>2018</v>
      </c>
      <c r="C586" s="1">
        <v>43863</v>
      </c>
      <c r="D586" t="s">
        <v>8</v>
      </c>
      <c r="E586">
        <v>1269036</v>
      </c>
      <c r="F586">
        <v>22899863</v>
      </c>
      <c r="G586">
        <v>5.54</v>
      </c>
    </row>
    <row r="587" spans="1:7" x14ac:dyDescent="0.45">
      <c r="A587" t="s">
        <v>21</v>
      </c>
      <c r="B587">
        <v>2018</v>
      </c>
      <c r="C587" s="1">
        <v>43863</v>
      </c>
      <c r="D587" t="s">
        <v>8</v>
      </c>
      <c r="E587">
        <v>347350</v>
      </c>
      <c r="F587">
        <v>7056421</v>
      </c>
      <c r="G587">
        <v>4.92</v>
      </c>
    </row>
    <row r="588" spans="1:7" x14ac:dyDescent="0.45">
      <c r="A588" t="s">
        <v>22</v>
      </c>
      <c r="B588">
        <v>2018</v>
      </c>
      <c r="C588" s="1">
        <v>43863</v>
      </c>
      <c r="D588" t="s">
        <v>8</v>
      </c>
      <c r="E588">
        <v>284305</v>
      </c>
      <c r="F588">
        <v>4829270</v>
      </c>
      <c r="G588">
        <v>5.89</v>
      </c>
    </row>
    <row r="589" spans="1:7" x14ac:dyDescent="0.45">
      <c r="A589" t="s">
        <v>7</v>
      </c>
      <c r="B589">
        <v>2018</v>
      </c>
      <c r="C589" s="1">
        <v>43863</v>
      </c>
      <c r="D589" t="s">
        <v>23</v>
      </c>
      <c r="E589">
        <v>22273</v>
      </c>
      <c r="F589">
        <v>590760</v>
      </c>
      <c r="G589">
        <v>3.77</v>
      </c>
    </row>
    <row r="590" spans="1:7" x14ac:dyDescent="0.45">
      <c r="A590" t="s">
        <v>9</v>
      </c>
      <c r="B590">
        <v>2018</v>
      </c>
      <c r="C590" s="1">
        <v>43863</v>
      </c>
      <c r="D590" t="s">
        <v>23</v>
      </c>
      <c r="E590">
        <v>52351</v>
      </c>
      <c r="F590">
        <v>2465297</v>
      </c>
      <c r="G590">
        <v>2.12</v>
      </c>
    </row>
    <row r="591" spans="1:7" x14ac:dyDescent="0.45">
      <c r="A591" t="s">
        <v>10</v>
      </c>
      <c r="B591">
        <v>2018</v>
      </c>
      <c r="C591" s="1">
        <v>43863</v>
      </c>
      <c r="D591" t="s">
        <v>23</v>
      </c>
      <c r="E591">
        <v>191976</v>
      </c>
      <c r="F591">
        <v>4715895</v>
      </c>
      <c r="G591">
        <v>4.07</v>
      </c>
    </row>
    <row r="592" spans="1:7" x14ac:dyDescent="0.45">
      <c r="A592" t="s">
        <v>11</v>
      </c>
      <c r="B592">
        <v>2018</v>
      </c>
      <c r="C592" s="1">
        <v>43863</v>
      </c>
      <c r="D592" t="s">
        <v>23</v>
      </c>
      <c r="E592">
        <v>140085</v>
      </c>
      <c r="F592">
        <v>3019150</v>
      </c>
      <c r="G592">
        <v>4.6399999999999997</v>
      </c>
    </row>
    <row r="593" spans="1:7" x14ac:dyDescent="0.45">
      <c r="A593" t="s">
        <v>12</v>
      </c>
      <c r="B593">
        <v>2018</v>
      </c>
      <c r="C593" s="1">
        <v>43863</v>
      </c>
      <c r="D593" t="s">
        <v>23</v>
      </c>
      <c r="E593">
        <v>802713</v>
      </c>
      <c r="F593">
        <v>17980787</v>
      </c>
      <c r="G593">
        <v>4.46</v>
      </c>
    </row>
    <row r="594" spans="1:7" x14ac:dyDescent="0.45">
      <c r="A594" t="s">
        <v>13</v>
      </c>
      <c r="B594">
        <v>2018</v>
      </c>
      <c r="C594" s="1">
        <v>43863</v>
      </c>
      <c r="D594" t="s">
        <v>23</v>
      </c>
      <c r="E594">
        <v>348200</v>
      </c>
      <c r="F594">
        <v>10533371</v>
      </c>
      <c r="G594">
        <v>3.31</v>
      </c>
    </row>
    <row r="595" spans="1:7" x14ac:dyDescent="0.45">
      <c r="A595" t="s">
        <v>15</v>
      </c>
      <c r="B595">
        <v>2018</v>
      </c>
      <c r="C595" s="1">
        <v>43863</v>
      </c>
      <c r="D595" t="s">
        <v>23</v>
      </c>
      <c r="E595">
        <v>55356</v>
      </c>
      <c r="F595">
        <v>3681254</v>
      </c>
      <c r="G595">
        <v>1.5</v>
      </c>
    </row>
    <row r="596" spans="1:7" x14ac:dyDescent="0.45">
      <c r="A596" t="s">
        <v>16</v>
      </c>
      <c r="B596">
        <v>2018</v>
      </c>
      <c r="C596" s="1">
        <v>43863</v>
      </c>
      <c r="D596" t="s">
        <v>23</v>
      </c>
      <c r="E596">
        <v>98888</v>
      </c>
      <c r="F596">
        <v>3803169</v>
      </c>
      <c r="G596">
        <v>2.6</v>
      </c>
    </row>
    <row r="597" spans="1:7" x14ac:dyDescent="0.45">
      <c r="A597" t="s">
        <v>17</v>
      </c>
      <c r="B597">
        <v>2018</v>
      </c>
      <c r="C597" s="1">
        <v>43863</v>
      </c>
      <c r="D597" t="s">
        <v>23</v>
      </c>
      <c r="E597">
        <v>255068</v>
      </c>
      <c r="F597">
        <v>5844357</v>
      </c>
      <c r="G597">
        <v>4.3600000000000003</v>
      </c>
    </row>
    <row r="598" spans="1:7" x14ac:dyDescent="0.45">
      <c r="A598" t="s">
        <v>18</v>
      </c>
      <c r="B598">
        <v>2018</v>
      </c>
      <c r="C598" s="1">
        <v>43863</v>
      </c>
      <c r="D598" t="s">
        <v>23</v>
      </c>
      <c r="E598">
        <v>137422</v>
      </c>
      <c r="F598">
        <v>5056750</v>
      </c>
      <c r="G598">
        <v>2.72</v>
      </c>
    </row>
    <row r="599" spans="1:7" x14ac:dyDescent="0.45">
      <c r="A599" t="s">
        <v>19</v>
      </c>
      <c r="B599">
        <v>2018</v>
      </c>
      <c r="C599" s="1">
        <v>43863</v>
      </c>
      <c r="D599" t="s">
        <v>23</v>
      </c>
      <c r="E599">
        <v>14127</v>
      </c>
      <c r="F599">
        <v>615077</v>
      </c>
      <c r="G599">
        <v>2.2999999999999998</v>
      </c>
    </row>
    <row r="600" spans="1:7" x14ac:dyDescent="0.45">
      <c r="A600" t="s">
        <v>24</v>
      </c>
      <c r="B600">
        <v>2018</v>
      </c>
      <c r="C600" s="1">
        <v>43863</v>
      </c>
      <c r="D600" t="s">
        <v>23</v>
      </c>
      <c r="E600">
        <v>154155</v>
      </c>
      <c r="F600">
        <v>3509161</v>
      </c>
      <c r="G600">
        <v>4.3899999999999997</v>
      </c>
    </row>
    <row r="601" spans="1:7" x14ac:dyDescent="0.45">
      <c r="A601" t="s">
        <v>20</v>
      </c>
      <c r="B601">
        <v>2018</v>
      </c>
      <c r="C601" s="1">
        <v>43863</v>
      </c>
      <c r="D601" t="s">
        <v>23</v>
      </c>
      <c r="E601">
        <v>589946</v>
      </c>
      <c r="F601">
        <v>22899863</v>
      </c>
      <c r="G601">
        <v>2.58</v>
      </c>
    </row>
    <row r="602" spans="1:7" x14ac:dyDescent="0.45">
      <c r="A602" t="s">
        <v>21</v>
      </c>
      <c r="B602">
        <v>2018</v>
      </c>
      <c r="C602" s="1">
        <v>43863</v>
      </c>
      <c r="D602" t="s">
        <v>23</v>
      </c>
      <c r="E602">
        <v>252397</v>
      </c>
      <c r="F602">
        <v>7056421</v>
      </c>
      <c r="G602">
        <v>3.58</v>
      </c>
    </row>
    <row r="603" spans="1:7" x14ac:dyDescent="0.45">
      <c r="A603" t="s">
        <v>22</v>
      </c>
      <c r="B603">
        <v>2018</v>
      </c>
      <c r="C603" s="1">
        <v>43863</v>
      </c>
      <c r="D603" t="s">
        <v>23</v>
      </c>
      <c r="E603">
        <v>140292</v>
      </c>
      <c r="F603">
        <v>4829270</v>
      </c>
      <c r="G603">
        <v>2.91</v>
      </c>
    </row>
    <row r="604" spans="1:7" x14ac:dyDescent="0.45">
      <c r="A604" t="s">
        <v>7</v>
      </c>
      <c r="B604">
        <v>2018</v>
      </c>
      <c r="C604" s="1">
        <v>43863</v>
      </c>
      <c r="D604" t="s">
        <v>25</v>
      </c>
      <c r="E604">
        <v>36015</v>
      </c>
      <c r="F604">
        <v>590760</v>
      </c>
      <c r="G604">
        <v>6.1</v>
      </c>
    </row>
    <row r="605" spans="1:7" x14ac:dyDescent="0.45">
      <c r="A605" t="s">
        <v>9</v>
      </c>
      <c r="B605">
        <v>2018</v>
      </c>
      <c r="C605" s="1">
        <v>43863</v>
      </c>
      <c r="D605" t="s">
        <v>25</v>
      </c>
      <c r="E605">
        <v>133500</v>
      </c>
      <c r="F605">
        <v>2465297</v>
      </c>
      <c r="G605">
        <v>5.42</v>
      </c>
    </row>
    <row r="606" spans="1:7" x14ac:dyDescent="0.45">
      <c r="A606" t="s">
        <v>10</v>
      </c>
      <c r="B606">
        <v>2018</v>
      </c>
      <c r="C606" s="1">
        <v>43863</v>
      </c>
      <c r="D606" t="s">
        <v>25</v>
      </c>
      <c r="E606">
        <v>343692</v>
      </c>
      <c r="F606">
        <v>4715895</v>
      </c>
      <c r="G606">
        <v>7.29</v>
      </c>
    </row>
    <row r="607" spans="1:7" x14ac:dyDescent="0.45">
      <c r="A607" t="s">
        <v>11</v>
      </c>
      <c r="B607">
        <v>2018</v>
      </c>
      <c r="C607" s="1">
        <v>43863</v>
      </c>
      <c r="D607" t="s">
        <v>25</v>
      </c>
      <c r="E607">
        <v>156486</v>
      </c>
      <c r="F607">
        <v>3019150</v>
      </c>
      <c r="G607">
        <v>5.18</v>
      </c>
    </row>
    <row r="608" spans="1:7" x14ac:dyDescent="0.45">
      <c r="A608" t="s">
        <v>12</v>
      </c>
      <c r="B608">
        <v>2018</v>
      </c>
      <c r="C608" s="1">
        <v>43863</v>
      </c>
      <c r="D608" t="s">
        <v>25</v>
      </c>
      <c r="E608">
        <v>1442754</v>
      </c>
      <c r="F608">
        <v>17980787</v>
      </c>
      <c r="G608">
        <v>8.02</v>
      </c>
    </row>
    <row r="609" spans="1:7" x14ac:dyDescent="0.45">
      <c r="A609" t="s">
        <v>13</v>
      </c>
      <c r="B609">
        <v>2018</v>
      </c>
      <c r="C609" s="1">
        <v>43863</v>
      </c>
      <c r="D609" t="s">
        <v>25</v>
      </c>
      <c r="E609">
        <v>713107</v>
      </c>
      <c r="F609">
        <v>10533371</v>
      </c>
      <c r="G609">
        <v>6.77</v>
      </c>
    </row>
    <row r="610" spans="1:7" x14ac:dyDescent="0.45">
      <c r="A610" t="s">
        <v>14</v>
      </c>
      <c r="B610">
        <v>2018</v>
      </c>
      <c r="C610" s="1">
        <v>43863</v>
      </c>
      <c r="D610" t="s">
        <v>25</v>
      </c>
      <c r="E610">
        <v>176439</v>
      </c>
      <c r="F610">
        <v>2364319</v>
      </c>
      <c r="G610">
        <v>7.46</v>
      </c>
    </row>
    <row r="611" spans="1:7" x14ac:dyDescent="0.45">
      <c r="A611" t="s">
        <v>15</v>
      </c>
      <c r="B611">
        <v>2018</v>
      </c>
      <c r="C611" s="1">
        <v>43863</v>
      </c>
      <c r="D611" t="s">
        <v>25</v>
      </c>
      <c r="E611">
        <v>192433</v>
      </c>
      <c r="F611">
        <v>3681254</v>
      </c>
      <c r="G611">
        <v>5.23</v>
      </c>
    </row>
    <row r="612" spans="1:7" x14ac:dyDescent="0.45">
      <c r="A612" t="s">
        <v>17</v>
      </c>
      <c r="B612">
        <v>2018</v>
      </c>
      <c r="C612" s="1">
        <v>43863</v>
      </c>
      <c r="D612" t="s">
        <v>25</v>
      </c>
      <c r="E612">
        <v>353330</v>
      </c>
      <c r="F612">
        <v>5844357</v>
      </c>
      <c r="G612">
        <v>6.05</v>
      </c>
    </row>
    <row r="613" spans="1:7" x14ac:dyDescent="0.45">
      <c r="A613" t="s">
        <v>18</v>
      </c>
      <c r="B613">
        <v>2018</v>
      </c>
      <c r="C613" s="1">
        <v>43863</v>
      </c>
      <c r="D613" t="s">
        <v>25</v>
      </c>
      <c r="E613">
        <v>399632</v>
      </c>
      <c r="F613">
        <v>5056750</v>
      </c>
      <c r="G613">
        <v>7.9</v>
      </c>
    </row>
    <row r="614" spans="1:7" x14ac:dyDescent="0.45">
      <c r="A614" t="s">
        <v>19</v>
      </c>
      <c r="B614">
        <v>2018</v>
      </c>
      <c r="C614" s="1">
        <v>43863</v>
      </c>
      <c r="D614" t="s">
        <v>25</v>
      </c>
      <c r="E614">
        <v>59466</v>
      </c>
      <c r="F614">
        <v>615077</v>
      </c>
      <c r="G614">
        <v>9.67</v>
      </c>
    </row>
    <row r="615" spans="1:7" x14ac:dyDescent="0.45">
      <c r="A615" t="s">
        <v>24</v>
      </c>
      <c r="B615">
        <v>2018</v>
      </c>
      <c r="C615" s="1">
        <v>43863</v>
      </c>
      <c r="D615" t="s">
        <v>25</v>
      </c>
      <c r="E615">
        <v>322851</v>
      </c>
      <c r="F615">
        <v>3509161</v>
      </c>
      <c r="G615">
        <v>9.1999999999999993</v>
      </c>
    </row>
    <row r="616" spans="1:7" x14ac:dyDescent="0.45">
      <c r="A616" t="s">
        <v>20</v>
      </c>
      <c r="B616">
        <v>2018</v>
      </c>
      <c r="C616" s="1">
        <v>43863</v>
      </c>
      <c r="D616" t="s">
        <v>25</v>
      </c>
      <c r="E616">
        <v>1809564</v>
      </c>
      <c r="F616">
        <v>22899863</v>
      </c>
      <c r="G616">
        <v>7.9</v>
      </c>
    </row>
    <row r="617" spans="1:7" x14ac:dyDescent="0.45">
      <c r="A617" t="s">
        <v>21</v>
      </c>
      <c r="B617">
        <v>2018</v>
      </c>
      <c r="C617" s="1">
        <v>43863</v>
      </c>
      <c r="D617" t="s">
        <v>25</v>
      </c>
      <c r="E617">
        <v>443109</v>
      </c>
      <c r="F617">
        <v>7056421</v>
      </c>
      <c r="G617">
        <v>6.28</v>
      </c>
    </row>
    <row r="618" spans="1:7" x14ac:dyDescent="0.45">
      <c r="A618" t="s">
        <v>7</v>
      </c>
      <c r="B618">
        <v>2018</v>
      </c>
      <c r="C618" s="1">
        <v>43893</v>
      </c>
      <c r="D618" t="s">
        <v>8</v>
      </c>
      <c r="E618">
        <v>60204</v>
      </c>
      <c r="F618">
        <v>590760</v>
      </c>
      <c r="G618">
        <v>10.19</v>
      </c>
    </row>
    <row r="619" spans="1:7" x14ac:dyDescent="0.45">
      <c r="A619" t="s">
        <v>9</v>
      </c>
      <c r="B619">
        <v>2018</v>
      </c>
      <c r="C619" s="1">
        <v>43893</v>
      </c>
      <c r="D619" t="s">
        <v>8</v>
      </c>
      <c r="E619">
        <v>127275</v>
      </c>
      <c r="F619">
        <v>2465297</v>
      </c>
      <c r="G619">
        <v>5.16</v>
      </c>
    </row>
    <row r="620" spans="1:7" x14ac:dyDescent="0.45">
      <c r="A620" t="s">
        <v>10</v>
      </c>
      <c r="B620">
        <v>2018</v>
      </c>
      <c r="C620" s="1">
        <v>43893</v>
      </c>
      <c r="D620" t="s">
        <v>8</v>
      </c>
      <c r="E620">
        <v>463566</v>
      </c>
      <c r="F620">
        <v>4715895</v>
      </c>
      <c r="G620">
        <v>9.83</v>
      </c>
    </row>
    <row r="621" spans="1:7" x14ac:dyDescent="0.45">
      <c r="A621" t="s">
        <v>11</v>
      </c>
      <c r="B621">
        <v>2018</v>
      </c>
      <c r="C621" s="1">
        <v>43893</v>
      </c>
      <c r="D621" t="s">
        <v>8</v>
      </c>
      <c r="E621">
        <v>238873</v>
      </c>
      <c r="F621">
        <v>3019150</v>
      </c>
      <c r="G621">
        <v>7.91</v>
      </c>
    </row>
    <row r="622" spans="1:7" x14ac:dyDescent="0.45">
      <c r="A622" t="s">
        <v>12</v>
      </c>
      <c r="B622">
        <v>2018</v>
      </c>
      <c r="C622" s="1">
        <v>43893</v>
      </c>
      <c r="D622" t="s">
        <v>8</v>
      </c>
      <c r="E622">
        <v>1746057</v>
      </c>
      <c r="F622">
        <v>17980787</v>
      </c>
      <c r="G622">
        <v>9.7100000000000009</v>
      </c>
    </row>
    <row r="623" spans="1:7" x14ac:dyDescent="0.45">
      <c r="A623" t="s">
        <v>13</v>
      </c>
      <c r="B623">
        <v>2018</v>
      </c>
      <c r="C623" s="1">
        <v>43893</v>
      </c>
      <c r="D623" t="s">
        <v>8</v>
      </c>
      <c r="E623">
        <v>717139</v>
      </c>
      <c r="F623">
        <v>10533371</v>
      </c>
      <c r="G623">
        <v>6.81</v>
      </c>
    </row>
    <row r="624" spans="1:7" x14ac:dyDescent="0.45">
      <c r="A624" t="s">
        <v>14</v>
      </c>
      <c r="B624">
        <v>2018</v>
      </c>
      <c r="C624" s="1">
        <v>43893</v>
      </c>
      <c r="D624" t="s">
        <v>8</v>
      </c>
      <c r="E624">
        <v>133325</v>
      </c>
      <c r="F624">
        <v>2364319</v>
      </c>
      <c r="G624">
        <v>5.64</v>
      </c>
    </row>
    <row r="625" spans="1:7" x14ac:dyDescent="0.45">
      <c r="A625" t="s">
        <v>15</v>
      </c>
      <c r="B625">
        <v>2018</v>
      </c>
      <c r="C625" s="1">
        <v>43893</v>
      </c>
      <c r="D625" t="s">
        <v>8</v>
      </c>
      <c r="E625">
        <v>206118</v>
      </c>
      <c r="F625">
        <v>3681254</v>
      </c>
      <c r="G625">
        <v>5.6</v>
      </c>
    </row>
    <row r="626" spans="1:7" x14ac:dyDescent="0.45">
      <c r="A626" t="s">
        <v>16</v>
      </c>
      <c r="B626">
        <v>2018</v>
      </c>
      <c r="C626" s="1">
        <v>43893</v>
      </c>
      <c r="D626" t="s">
        <v>8</v>
      </c>
      <c r="E626">
        <v>298327</v>
      </c>
      <c r="F626">
        <v>3803169</v>
      </c>
      <c r="G626">
        <v>7.84</v>
      </c>
    </row>
    <row r="627" spans="1:7" x14ac:dyDescent="0.45">
      <c r="A627" t="s">
        <v>17</v>
      </c>
      <c r="B627">
        <v>2018</v>
      </c>
      <c r="C627" s="1">
        <v>43893</v>
      </c>
      <c r="D627" t="s">
        <v>8</v>
      </c>
      <c r="E627">
        <v>483764</v>
      </c>
      <c r="F627">
        <v>5844357</v>
      </c>
      <c r="G627">
        <v>8.2799999999999994</v>
      </c>
    </row>
    <row r="628" spans="1:7" x14ac:dyDescent="0.45">
      <c r="A628" t="s">
        <v>18</v>
      </c>
      <c r="B628">
        <v>2018</v>
      </c>
      <c r="C628" s="1">
        <v>43893</v>
      </c>
      <c r="D628" t="s">
        <v>8</v>
      </c>
      <c r="E628">
        <v>435498</v>
      </c>
      <c r="F628">
        <v>5056750</v>
      </c>
      <c r="G628">
        <v>8.61</v>
      </c>
    </row>
    <row r="629" spans="1:7" x14ac:dyDescent="0.45">
      <c r="A629" t="s">
        <v>19</v>
      </c>
      <c r="B629">
        <v>2018</v>
      </c>
      <c r="C629" s="1">
        <v>43893</v>
      </c>
      <c r="D629" t="s">
        <v>8</v>
      </c>
      <c r="E629">
        <v>59667</v>
      </c>
      <c r="F629">
        <v>615077</v>
      </c>
      <c r="G629">
        <v>9.6999999999999993</v>
      </c>
    </row>
    <row r="630" spans="1:7" x14ac:dyDescent="0.45">
      <c r="A630" t="s">
        <v>20</v>
      </c>
      <c r="B630">
        <v>2018</v>
      </c>
      <c r="C630" s="1">
        <v>43893</v>
      </c>
      <c r="D630" t="s">
        <v>8</v>
      </c>
      <c r="E630">
        <v>1145236</v>
      </c>
      <c r="F630">
        <v>22899863</v>
      </c>
      <c r="G630">
        <v>5</v>
      </c>
    </row>
    <row r="631" spans="1:7" x14ac:dyDescent="0.45">
      <c r="A631" t="s">
        <v>21</v>
      </c>
      <c r="B631">
        <v>2018</v>
      </c>
      <c r="C631" s="1">
        <v>43893</v>
      </c>
      <c r="D631" t="s">
        <v>8</v>
      </c>
      <c r="E631">
        <v>412371</v>
      </c>
      <c r="F631">
        <v>7056421</v>
      </c>
      <c r="G631">
        <v>5.84</v>
      </c>
    </row>
    <row r="632" spans="1:7" x14ac:dyDescent="0.45">
      <c r="A632" t="s">
        <v>22</v>
      </c>
      <c r="B632">
        <v>2018</v>
      </c>
      <c r="C632" s="1">
        <v>43893</v>
      </c>
      <c r="D632" t="s">
        <v>8</v>
      </c>
      <c r="E632">
        <v>560851</v>
      </c>
      <c r="F632">
        <v>4829270</v>
      </c>
      <c r="G632">
        <v>11.61</v>
      </c>
    </row>
    <row r="633" spans="1:7" x14ac:dyDescent="0.45">
      <c r="A633" t="s">
        <v>7</v>
      </c>
      <c r="B633">
        <v>2018</v>
      </c>
      <c r="C633" s="1">
        <v>43893</v>
      </c>
      <c r="D633" t="s">
        <v>23</v>
      </c>
      <c r="E633">
        <v>22483</v>
      </c>
      <c r="F633">
        <v>590760</v>
      </c>
      <c r="G633">
        <v>3.81</v>
      </c>
    </row>
    <row r="634" spans="1:7" x14ac:dyDescent="0.45">
      <c r="A634" t="s">
        <v>9</v>
      </c>
      <c r="B634">
        <v>2018</v>
      </c>
      <c r="C634" s="1">
        <v>43893</v>
      </c>
      <c r="D634" t="s">
        <v>23</v>
      </c>
      <c r="E634">
        <v>35343</v>
      </c>
      <c r="F634">
        <v>2465297</v>
      </c>
      <c r="G634">
        <v>1.43</v>
      </c>
    </row>
    <row r="635" spans="1:7" x14ac:dyDescent="0.45">
      <c r="A635" t="s">
        <v>10</v>
      </c>
      <c r="B635">
        <v>2018</v>
      </c>
      <c r="C635" s="1">
        <v>43893</v>
      </c>
      <c r="D635" t="s">
        <v>23</v>
      </c>
      <c r="E635">
        <v>188622</v>
      </c>
      <c r="F635">
        <v>4715895</v>
      </c>
      <c r="G635">
        <v>4</v>
      </c>
    </row>
    <row r="636" spans="1:7" x14ac:dyDescent="0.45">
      <c r="A636" t="s">
        <v>11</v>
      </c>
      <c r="B636">
        <v>2018</v>
      </c>
      <c r="C636" s="1">
        <v>43893</v>
      </c>
      <c r="D636" t="s">
        <v>23</v>
      </c>
      <c r="E636">
        <v>151400</v>
      </c>
      <c r="F636">
        <v>3019150</v>
      </c>
      <c r="G636">
        <v>5.01</v>
      </c>
    </row>
    <row r="637" spans="1:7" x14ac:dyDescent="0.45">
      <c r="A637" t="s">
        <v>12</v>
      </c>
      <c r="B637">
        <v>2018</v>
      </c>
      <c r="C637" s="1">
        <v>43893</v>
      </c>
      <c r="D637" t="s">
        <v>23</v>
      </c>
      <c r="E637">
        <v>860714</v>
      </c>
      <c r="F637">
        <v>17980787</v>
      </c>
      <c r="G637">
        <v>4.79</v>
      </c>
    </row>
    <row r="638" spans="1:7" x14ac:dyDescent="0.45">
      <c r="A638" t="s">
        <v>13</v>
      </c>
      <c r="B638">
        <v>2018</v>
      </c>
      <c r="C638" s="1">
        <v>43893</v>
      </c>
      <c r="D638" t="s">
        <v>23</v>
      </c>
      <c r="E638">
        <v>366587</v>
      </c>
      <c r="F638">
        <v>10533371</v>
      </c>
      <c r="G638">
        <v>3.48</v>
      </c>
    </row>
    <row r="639" spans="1:7" x14ac:dyDescent="0.45">
      <c r="A639" t="s">
        <v>15</v>
      </c>
      <c r="B639">
        <v>2018</v>
      </c>
      <c r="C639" s="1">
        <v>43893</v>
      </c>
      <c r="D639" t="s">
        <v>23</v>
      </c>
      <c r="E639">
        <v>56260</v>
      </c>
      <c r="F639">
        <v>3681254</v>
      </c>
      <c r="G639">
        <v>1.53</v>
      </c>
    </row>
    <row r="640" spans="1:7" x14ac:dyDescent="0.45">
      <c r="A640" t="s">
        <v>16</v>
      </c>
      <c r="B640">
        <v>2018</v>
      </c>
      <c r="C640" s="1">
        <v>43893</v>
      </c>
      <c r="D640" t="s">
        <v>23</v>
      </c>
      <c r="E640">
        <v>105515</v>
      </c>
      <c r="F640">
        <v>3803169</v>
      </c>
      <c r="G640">
        <v>2.77</v>
      </c>
    </row>
    <row r="641" spans="1:7" x14ac:dyDescent="0.45">
      <c r="A641" t="s">
        <v>17</v>
      </c>
      <c r="B641">
        <v>2018</v>
      </c>
      <c r="C641" s="1">
        <v>43893</v>
      </c>
      <c r="D641" t="s">
        <v>23</v>
      </c>
      <c r="E641">
        <v>296494</v>
      </c>
      <c r="F641">
        <v>5844357</v>
      </c>
      <c r="G641">
        <v>5.07</v>
      </c>
    </row>
    <row r="642" spans="1:7" x14ac:dyDescent="0.45">
      <c r="A642" t="s">
        <v>18</v>
      </c>
      <c r="B642">
        <v>2018</v>
      </c>
      <c r="C642" s="1">
        <v>43893</v>
      </c>
      <c r="D642" t="s">
        <v>23</v>
      </c>
      <c r="E642">
        <v>158550</v>
      </c>
      <c r="F642">
        <v>5056750</v>
      </c>
      <c r="G642">
        <v>3.14</v>
      </c>
    </row>
    <row r="643" spans="1:7" x14ac:dyDescent="0.45">
      <c r="A643" t="s">
        <v>19</v>
      </c>
      <c r="B643">
        <v>2018</v>
      </c>
      <c r="C643" s="1">
        <v>43893</v>
      </c>
      <c r="D643" t="s">
        <v>23</v>
      </c>
      <c r="E643">
        <v>17172</v>
      </c>
      <c r="F643">
        <v>615077</v>
      </c>
      <c r="G643">
        <v>2.79</v>
      </c>
    </row>
    <row r="644" spans="1:7" x14ac:dyDescent="0.45">
      <c r="A644" t="s">
        <v>24</v>
      </c>
      <c r="B644">
        <v>2018</v>
      </c>
      <c r="C644" s="1">
        <v>43893</v>
      </c>
      <c r="D644" t="s">
        <v>23</v>
      </c>
      <c r="E644">
        <v>127673</v>
      </c>
      <c r="F644">
        <v>3509161</v>
      </c>
      <c r="G644">
        <v>3.64</v>
      </c>
    </row>
    <row r="645" spans="1:7" x14ac:dyDescent="0.45">
      <c r="A645" t="s">
        <v>20</v>
      </c>
      <c r="B645">
        <v>2018</v>
      </c>
      <c r="C645" s="1">
        <v>43893</v>
      </c>
      <c r="D645" t="s">
        <v>23</v>
      </c>
      <c r="E645">
        <v>604651</v>
      </c>
      <c r="F645">
        <v>22899863</v>
      </c>
      <c r="G645">
        <v>2.64</v>
      </c>
    </row>
    <row r="646" spans="1:7" x14ac:dyDescent="0.45">
      <c r="A646" t="s">
        <v>21</v>
      </c>
      <c r="B646">
        <v>2018</v>
      </c>
      <c r="C646" s="1">
        <v>43893</v>
      </c>
      <c r="D646" t="s">
        <v>23</v>
      </c>
      <c r="E646">
        <v>278359</v>
      </c>
      <c r="F646">
        <v>7056421</v>
      </c>
      <c r="G646">
        <v>3.94</v>
      </c>
    </row>
    <row r="647" spans="1:7" x14ac:dyDescent="0.45">
      <c r="A647" t="s">
        <v>22</v>
      </c>
      <c r="B647">
        <v>2018</v>
      </c>
      <c r="C647" s="1">
        <v>43893</v>
      </c>
      <c r="D647" t="s">
        <v>23</v>
      </c>
      <c r="E647">
        <v>133008</v>
      </c>
      <c r="F647">
        <v>4829270</v>
      </c>
      <c r="G647">
        <v>2.75</v>
      </c>
    </row>
    <row r="648" spans="1:7" x14ac:dyDescent="0.45">
      <c r="A648" t="s">
        <v>7</v>
      </c>
      <c r="B648">
        <v>2018</v>
      </c>
      <c r="C648" s="1">
        <v>43893</v>
      </c>
      <c r="D648" t="s">
        <v>25</v>
      </c>
      <c r="E648">
        <v>46977</v>
      </c>
      <c r="F648">
        <v>590760</v>
      </c>
      <c r="G648">
        <v>7.95</v>
      </c>
    </row>
    <row r="649" spans="1:7" x14ac:dyDescent="0.45">
      <c r="A649" t="s">
        <v>9</v>
      </c>
      <c r="B649">
        <v>2018</v>
      </c>
      <c r="C649" s="1">
        <v>43893</v>
      </c>
      <c r="D649" t="s">
        <v>25</v>
      </c>
      <c r="E649">
        <v>172212</v>
      </c>
      <c r="F649">
        <v>2465297</v>
      </c>
      <c r="G649">
        <v>6.99</v>
      </c>
    </row>
    <row r="650" spans="1:7" x14ac:dyDescent="0.45">
      <c r="A650" t="s">
        <v>10</v>
      </c>
      <c r="B650">
        <v>2018</v>
      </c>
      <c r="C650" s="1">
        <v>43893</v>
      </c>
      <c r="D650" t="s">
        <v>25</v>
      </c>
      <c r="E650">
        <v>408455</v>
      </c>
      <c r="F650">
        <v>4715895</v>
      </c>
      <c r="G650">
        <v>8.66</v>
      </c>
    </row>
    <row r="651" spans="1:7" x14ac:dyDescent="0.45">
      <c r="A651" t="s">
        <v>11</v>
      </c>
      <c r="B651">
        <v>2018</v>
      </c>
      <c r="C651" s="1">
        <v>43893</v>
      </c>
      <c r="D651" t="s">
        <v>25</v>
      </c>
      <c r="E651">
        <v>182357</v>
      </c>
      <c r="F651">
        <v>3019150</v>
      </c>
      <c r="G651">
        <v>6.04</v>
      </c>
    </row>
    <row r="652" spans="1:7" x14ac:dyDescent="0.45">
      <c r="A652" t="s">
        <v>12</v>
      </c>
      <c r="B652">
        <v>2018</v>
      </c>
      <c r="C652" s="1">
        <v>43893</v>
      </c>
      <c r="D652" t="s">
        <v>25</v>
      </c>
      <c r="E652">
        <v>1798273</v>
      </c>
      <c r="F652">
        <v>17980787</v>
      </c>
      <c r="G652">
        <v>10</v>
      </c>
    </row>
    <row r="653" spans="1:7" x14ac:dyDescent="0.45">
      <c r="A653" t="s">
        <v>13</v>
      </c>
      <c r="B653">
        <v>2018</v>
      </c>
      <c r="C653" s="1">
        <v>43893</v>
      </c>
      <c r="D653" t="s">
        <v>25</v>
      </c>
      <c r="E653">
        <v>910718</v>
      </c>
      <c r="F653">
        <v>10533371</v>
      </c>
      <c r="G653">
        <v>8.65</v>
      </c>
    </row>
    <row r="654" spans="1:7" x14ac:dyDescent="0.45">
      <c r="A654" t="s">
        <v>14</v>
      </c>
      <c r="B654">
        <v>2018</v>
      </c>
      <c r="C654" s="1">
        <v>43893</v>
      </c>
      <c r="D654" t="s">
        <v>25</v>
      </c>
      <c r="E654">
        <v>147313</v>
      </c>
      <c r="F654">
        <v>2364319</v>
      </c>
      <c r="G654">
        <v>6.23</v>
      </c>
    </row>
    <row r="655" spans="1:7" x14ac:dyDescent="0.45">
      <c r="A655" t="s">
        <v>15</v>
      </c>
      <c r="B655">
        <v>2018</v>
      </c>
      <c r="C655" s="1">
        <v>43893</v>
      </c>
      <c r="D655" t="s">
        <v>25</v>
      </c>
      <c r="E655">
        <v>272417</v>
      </c>
      <c r="F655">
        <v>3681254</v>
      </c>
      <c r="G655">
        <v>7.4</v>
      </c>
    </row>
    <row r="656" spans="1:7" x14ac:dyDescent="0.45">
      <c r="A656" t="s">
        <v>17</v>
      </c>
      <c r="B656">
        <v>2018</v>
      </c>
      <c r="C656" s="1">
        <v>43893</v>
      </c>
      <c r="D656" t="s">
        <v>25</v>
      </c>
      <c r="E656">
        <v>417103</v>
      </c>
      <c r="F656">
        <v>5844357</v>
      </c>
      <c r="G656">
        <v>7.14</v>
      </c>
    </row>
    <row r="657" spans="1:7" x14ac:dyDescent="0.45">
      <c r="A657" t="s">
        <v>18</v>
      </c>
      <c r="B657">
        <v>2018</v>
      </c>
      <c r="C657" s="1">
        <v>43893</v>
      </c>
      <c r="D657" t="s">
        <v>25</v>
      </c>
      <c r="E657">
        <v>457427</v>
      </c>
      <c r="F657">
        <v>5056750</v>
      </c>
      <c r="G657">
        <v>9.0500000000000007</v>
      </c>
    </row>
    <row r="658" spans="1:7" x14ac:dyDescent="0.45">
      <c r="A658" t="s">
        <v>19</v>
      </c>
      <c r="B658">
        <v>2018</v>
      </c>
      <c r="C658" s="1">
        <v>43893</v>
      </c>
      <c r="D658" t="s">
        <v>25</v>
      </c>
      <c r="E658">
        <v>72500</v>
      </c>
      <c r="F658">
        <v>615077</v>
      </c>
      <c r="G658">
        <v>11.79</v>
      </c>
    </row>
    <row r="659" spans="1:7" x14ac:dyDescent="0.45">
      <c r="A659" t="s">
        <v>24</v>
      </c>
      <c r="B659">
        <v>2018</v>
      </c>
      <c r="C659" s="1">
        <v>43893</v>
      </c>
      <c r="D659" t="s">
        <v>25</v>
      </c>
      <c r="E659">
        <v>262640</v>
      </c>
      <c r="F659">
        <v>3509161</v>
      </c>
      <c r="G659">
        <v>7.48</v>
      </c>
    </row>
    <row r="660" spans="1:7" x14ac:dyDescent="0.45">
      <c r="A660" t="s">
        <v>20</v>
      </c>
      <c r="B660">
        <v>2018</v>
      </c>
      <c r="C660" s="1">
        <v>43893</v>
      </c>
      <c r="D660" t="s">
        <v>25</v>
      </c>
      <c r="E660">
        <v>1849673</v>
      </c>
      <c r="F660">
        <v>22899863</v>
      </c>
      <c r="G660">
        <v>8.08</v>
      </c>
    </row>
    <row r="661" spans="1:7" x14ac:dyDescent="0.45">
      <c r="A661" t="s">
        <v>21</v>
      </c>
      <c r="B661">
        <v>2018</v>
      </c>
      <c r="C661" s="1">
        <v>43893</v>
      </c>
      <c r="D661" t="s">
        <v>25</v>
      </c>
      <c r="E661">
        <v>525613</v>
      </c>
      <c r="F661">
        <v>7056421</v>
      </c>
      <c r="G661">
        <v>7.45</v>
      </c>
    </row>
    <row r="662" spans="1:7" x14ac:dyDescent="0.45">
      <c r="A662" t="s">
        <v>7</v>
      </c>
      <c r="B662">
        <v>2018</v>
      </c>
      <c r="C662" s="1">
        <v>43925</v>
      </c>
      <c r="D662" t="s">
        <v>8</v>
      </c>
      <c r="E662">
        <v>53604</v>
      </c>
      <c r="F662">
        <v>590760</v>
      </c>
      <c r="G662">
        <v>9.07</v>
      </c>
    </row>
    <row r="663" spans="1:7" x14ac:dyDescent="0.45">
      <c r="A663" t="s">
        <v>9</v>
      </c>
      <c r="B663">
        <v>2018</v>
      </c>
      <c r="C663" s="1">
        <v>43925</v>
      </c>
      <c r="D663" t="s">
        <v>8</v>
      </c>
      <c r="E663">
        <v>143676</v>
      </c>
      <c r="F663">
        <v>2465297</v>
      </c>
      <c r="G663">
        <v>5.83</v>
      </c>
    </row>
    <row r="664" spans="1:7" x14ac:dyDescent="0.45">
      <c r="A664" t="s">
        <v>10</v>
      </c>
      <c r="B664">
        <v>2018</v>
      </c>
      <c r="C664" s="1">
        <v>43925</v>
      </c>
      <c r="D664" t="s">
        <v>8</v>
      </c>
      <c r="E664">
        <v>404253</v>
      </c>
      <c r="F664">
        <v>4715895</v>
      </c>
      <c r="G664">
        <v>8.57</v>
      </c>
    </row>
    <row r="665" spans="1:7" x14ac:dyDescent="0.45">
      <c r="A665" t="s">
        <v>11</v>
      </c>
      <c r="B665">
        <v>2018</v>
      </c>
      <c r="C665" s="1">
        <v>43925</v>
      </c>
      <c r="D665" t="s">
        <v>8</v>
      </c>
      <c r="E665">
        <v>237436</v>
      </c>
      <c r="F665">
        <v>3019150</v>
      </c>
      <c r="G665">
        <v>7.86</v>
      </c>
    </row>
    <row r="666" spans="1:7" x14ac:dyDescent="0.45">
      <c r="A666" t="s">
        <v>12</v>
      </c>
      <c r="B666">
        <v>2018</v>
      </c>
      <c r="C666" s="1">
        <v>43925</v>
      </c>
      <c r="D666" t="s">
        <v>8</v>
      </c>
      <c r="E666">
        <v>1316347</v>
      </c>
      <c r="F666">
        <v>17980787</v>
      </c>
      <c r="G666">
        <v>7.32</v>
      </c>
    </row>
    <row r="667" spans="1:7" x14ac:dyDescent="0.45">
      <c r="A667" t="s">
        <v>13</v>
      </c>
      <c r="B667">
        <v>2018</v>
      </c>
      <c r="C667" s="1">
        <v>43925</v>
      </c>
      <c r="D667" t="s">
        <v>8</v>
      </c>
      <c r="E667">
        <v>644336</v>
      </c>
      <c r="F667">
        <v>10533371</v>
      </c>
      <c r="G667">
        <v>6.12</v>
      </c>
    </row>
    <row r="668" spans="1:7" x14ac:dyDescent="0.45">
      <c r="A668" t="s">
        <v>14</v>
      </c>
      <c r="B668">
        <v>2018</v>
      </c>
      <c r="C668" s="1">
        <v>43925</v>
      </c>
      <c r="D668" t="s">
        <v>8</v>
      </c>
      <c r="E668">
        <v>146159</v>
      </c>
      <c r="F668">
        <v>2364319</v>
      </c>
      <c r="G668">
        <v>6.18</v>
      </c>
    </row>
    <row r="669" spans="1:7" x14ac:dyDescent="0.45">
      <c r="A669" t="s">
        <v>15</v>
      </c>
      <c r="B669">
        <v>2018</v>
      </c>
      <c r="C669" s="1">
        <v>43925</v>
      </c>
      <c r="D669" t="s">
        <v>8</v>
      </c>
      <c r="E669">
        <v>270585</v>
      </c>
      <c r="F669">
        <v>3681254</v>
      </c>
      <c r="G669">
        <v>7.35</v>
      </c>
    </row>
    <row r="670" spans="1:7" x14ac:dyDescent="0.45">
      <c r="A670" t="s">
        <v>16</v>
      </c>
      <c r="B670">
        <v>2018</v>
      </c>
      <c r="C670" s="1">
        <v>43925</v>
      </c>
      <c r="D670" t="s">
        <v>8</v>
      </c>
      <c r="E670">
        <v>313855</v>
      </c>
      <c r="F670">
        <v>3803169</v>
      </c>
      <c r="G670">
        <v>8.25</v>
      </c>
    </row>
    <row r="671" spans="1:7" x14ac:dyDescent="0.45">
      <c r="A671" t="s">
        <v>17</v>
      </c>
      <c r="B671">
        <v>2018</v>
      </c>
      <c r="C671" s="1">
        <v>43925</v>
      </c>
      <c r="D671" t="s">
        <v>8</v>
      </c>
      <c r="E671">
        <v>464646</v>
      </c>
      <c r="F671">
        <v>5844357</v>
      </c>
      <c r="G671">
        <v>7.95</v>
      </c>
    </row>
    <row r="672" spans="1:7" x14ac:dyDescent="0.45">
      <c r="A672" t="s">
        <v>18</v>
      </c>
      <c r="B672">
        <v>2018</v>
      </c>
      <c r="C672" s="1">
        <v>43925</v>
      </c>
      <c r="D672" t="s">
        <v>8</v>
      </c>
      <c r="E672">
        <v>449734</v>
      </c>
      <c r="F672">
        <v>5056750</v>
      </c>
      <c r="G672">
        <v>8.89</v>
      </c>
    </row>
    <row r="673" spans="1:7" x14ac:dyDescent="0.45">
      <c r="A673" t="s">
        <v>19</v>
      </c>
      <c r="B673">
        <v>2018</v>
      </c>
      <c r="C673" s="1">
        <v>43925</v>
      </c>
      <c r="D673" t="s">
        <v>8</v>
      </c>
      <c r="E673">
        <v>61330</v>
      </c>
      <c r="F673">
        <v>615077</v>
      </c>
      <c r="G673">
        <v>9.9700000000000006</v>
      </c>
    </row>
    <row r="674" spans="1:7" x14ac:dyDescent="0.45">
      <c r="A674" t="s">
        <v>20</v>
      </c>
      <c r="B674">
        <v>2018</v>
      </c>
      <c r="C674" s="1">
        <v>43925</v>
      </c>
      <c r="D674" t="s">
        <v>8</v>
      </c>
      <c r="E674">
        <v>1414306</v>
      </c>
      <c r="F674">
        <v>22899863</v>
      </c>
      <c r="G674">
        <v>6.18</v>
      </c>
    </row>
    <row r="675" spans="1:7" x14ac:dyDescent="0.45">
      <c r="A675" t="s">
        <v>21</v>
      </c>
      <c r="B675">
        <v>2018</v>
      </c>
      <c r="C675" s="1">
        <v>43925</v>
      </c>
      <c r="D675" t="s">
        <v>8</v>
      </c>
      <c r="E675">
        <v>368357</v>
      </c>
      <c r="F675">
        <v>7056421</v>
      </c>
      <c r="G675">
        <v>5.22</v>
      </c>
    </row>
    <row r="676" spans="1:7" x14ac:dyDescent="0.45">
      <c r="A676" t="s">
        <v>22</v>
      </c>
      <c r="B676">
        <v>2018</v>
      </c>
      <c r="C676" s="1">
        <v>43925</v>
      </c>
      <c r="D676" t="s">
        <v>8</v>
      </c>
      <c r="E676">
        <v>340431</v>
      </c>
      <c r="F676">
        <v>4829270</v>
      </c>
      <c r="G676">
        <v>7.05</v>
      </c>
    </row>
    <row r="677" spans="1:7" x14ac:dyDescent="0.45">
      <c r="A677" t="s">
        <v>7</v>
      </c>
      <c r="B677">
        <v>2018</v>
      </c>
      <c r="C677" s="1">
        <v>43925</v>
      </c>
      <c r="D677" t="s">
        <v>23</v>
      </c>
      <c r="E677">
        <v>22259</v>
      </c>
      <c r="F677">
        <v>590760</v>
      </c>
      <c r="G677">
        <v>3.77</v>
      </c>
    </row>
    <row r="678" spans="1:7" x14ac:dyDescent="0.45">
      <c r="A678" t="s">
        <v>9</v>
      </c>
      <c r="B678">
        <v>2018</v>
      </c>
      <c r="C678" s="1">
        <v>43925</v>
      </c>
      <c r="D678" t="s">
        <v>23</v>
      </c>
      <c r="E678">
        <v>50151</v>
      </c>
      <c r="F678">
        <v>2465297</v>
      </c>
      <c r="G678">
        <v>2.0299999999999998</v>
      </c>
    </row>
    <row r="679" spans="1:7" x14ac:dyDescent="0.45">
      <c r="A679" t="s">
        <v>10</v>
      </c>
      <c r="B679">
        <v>2018</v>
      </c>
      <c r="C679" s="1">
        <v>43925</v>
      </c>
      <c r="D679" t="s">
        <v>23</v>
      </c>
      <c r="E679">
        <v>176337</v>
      </c>
      <c r="F679">
        <v>4715895</v>
      </c>
      <c r="G679">
        <v>3.74</v>
      </c>
    </row>
    <row r="680" spans="1:7" x14ac:dyDescent="0.45">
      <c r="A680" t="s">
        <v>11</v>
      </c>
      <c r="B680">
        <v>2018</v>
      </c>
      <c r="C680" s="1">
        <v>43925</v>
      </c>
      <c r="D680" t="s">
        <v>23</v>
      </c>
      <c r="E680">
        <v>135020</v>
      </c>
      <c r="F680">
        <v>3019150</v>
      </c>
      <c r="G680">
        <v>4.47</v>
      </c>
    </row>
    <row r="681" spans="1:7" x14ac:dyDescent="0.45">
      <c r="A681" t="s">
        <v>12</v>
      </c>
      <c r="B681">
        <v>2018</v>
      </c>
      <c r="C681" s="1">
        <v>43925</v>
      </c>
      <c r="D681" t="s">
        <v>23</v>
      </c>
      <c r="E681">
        <v>756541</v>
      </c>
      <c r="F681">
        <v>17980787</v>
      </c>
      <c r="G681">
        <v>4.21</v>
      </c>
    </row>
    <row r="682" spans="1:7" x14ac:dyDescent="0.45">
      <c r="A682" t="s">
        <v>13</v>
      </c>
      <c r="B682">
        <v>2018</v>
      </c>
      <c r="C682" s="1">
        <v>43925</v>
      </c>
      <c r="D682" t="s">
        <v>23</v>
      </c>
      <c r="E682">
        <v>353790</v>
      </c>
      <c r="F682">
        <v>10533371</v>
      </c>
      <c r="G682">
        <v>3.36</v>
      </c>
    </row>
    <row r="683" spans="1:7" x14ac:dyDescent="0.45">
      <c r="A683" t="s">
        <v>15</v>
      </c>
      <c r="B683">
        <v>2018</v>
      </c>
      <c r="C683" s="1">
        <v>43925</v>
      </c>
      <c r="D683" t="s">
        <v>23</v>
      </c>
      <c r="E683">
        <v>64681</v>
      </c>
      <c r="F683">
        <v>3681254</v>
      </c>
      <c r="G683">
        <v>1.76</v>
      </c>
    </row>
    <row r="684" spans="1:7" x14ac:dyDescent="0.45">
      <c r="A684" t="s">
        <v>16</v>
      </c>
      <c r="B684">
        <v>2018</v>
      </c>
      <c r="C684" s="1">
        <v>43925</v>
      </c>
      <c r="D684" t="s">
        <v>23</v>
      </c>
      <c r="E684">
        <v>103693</v>
      </c>
      <c r="F684">
        <v>3803169</v>
      </c>
      <c r="G684">
        <v>2.73</v>
      </c>
    </row>
    <row r="685" spans="1:7" x14ac:dyDescent="0.45">
      <c r="A685" t="s">
        <v>17</v>
      </c>
      <c r="B685">
        <v>2018</v>
      </c>
      <c r="C685" s="1">
        <v>43925</v>
      </c>
      <c r="D685" t="s">
        <v>23</v>
      </c>
      <c r="E685">
        <v>273846</v>
      </c>
      <c r="F685">
        <v>5844357</v>
      </c>
      <c r="G685">
        <v>4.6900000000000004</v>
      </c>
    </row>
    <row r="686" spans="1:7" x14ac:dyDescent="0.45">
      <c r="A686" t="s">
        <v>18</v>
      </c>
      <c r="B686">
        <v>2018</v>
      </c>
      <c r="C686" s="1">
        <v>43925</v>
      </c>
      <c r="D686" t="s">
        <v>23</v>
      </c>
      <c r="E686">
        <v>148441</v>
      </c>
      <c r="F686">
        <v>5056750</v>
      </c>
      <c r="G686">
        <v>2.94</v>
      </c>
    </row>
    <row r="687" spans="1:7" x14ac:dyDescent="0.45">
      <c r="A687" t="s">
        <v>19</v>
      </c>
      <c r="B687">
        <v>2018</v>
      </c>
      <c r="C687" s="1">
        <v>43925</v>
      </c>
      <c r="D687" t="s">
        <v>23</v>
      </c>
      <c r="E687">
        <v>21347</v>
      </c>
      <c r="F687">
        <v>615077</v>
      </c>
      <c r="G687">
        <v>3.47</v>
      </c>
    </row>
    <row r="688" spans="1:7" x14ac:dyDescent="0.45">
      <c r="A688" t="s">
        <v>24</v>
      </c>
      <c r="B688">
        <v>2018</v>
      </c>
      <c r="C688" s="1">
        <v>43925</v>
      </c>
      <c r="D688" t="s">
        <v>23</v>
      </c>
      <c r="E688">
        <v>174684</v>
      </c>
      <c r="F688">
        <v>3509161</v>
      </c>
      <c r="G688">
        <v>4.9800000000000004</v>
      </c>
    </row>
    <row r="689" spans="1:7" x14ac:dyDescent="0.45">
      <c r="A689" t="s">
        <v>20</v>
      </c>
      <c r="B689">
        <v>2018</v>
      </c>
      <c r="C689" s="1">
        <v>43925</v>
      </c>
      <c r="D689" t="s">
        <v>23</v>
      </c>
      <c r="E689">
        <v>658024</v>
      </c>
      <c r="F689">
        <v>22899863</v>
      </c>
      <c r="G689">
        <v>2.87</v>
      </c>
    </row>
    <row r="690" spans="1:7" x14ac:dyDescent="0.45">
      <c r="A690" t="s">
        <v>21</v>
      </c>
      <c r="B690">
        <v>2018</v>
      </c>
      <c r="C690" s="1">
        <v>43925</v>
      </c>
      <c r="D690" t="s">
        <v>23</v>
      </c>
      <c r="E690">
        <v>273470</v>
      </c>
      <c r="F690">
        <v>7056421</v>
      </c>
      <c r="G690">
        <v>3.88</v>
      </c>
    </row>
    <row r="691" spans="1:7" x14ac:dyDescent="0.45">
      <c r="A691" t="s">
        <v>22</v>
      </c>
      <c r="B691">
        <v>2018</v>
      </c>
      <c r="C691" s="1">
        <v>43925</v>
      </c>
      <c r="D691" t="s">
        <v>23</v>
      </c>
      <c r="E691">
        <v>159036</v>
      </c>
      <c r="F691">
        <v>4829270</v>
      </c>
      <c r="G691">
        <v>3.29</v>
      </c>
    </row>
    <row r="692" spans="1:7" x14ac:dyDescent="0.45">
      <c r="A692" t="s">
        <v>7</v>
      </c>
      <c r="B692">
        <v>2018</v>
      </c>
      <c r="C692" s="1">
        <v>43925</v>
      </c>
      <c r="D692" t="s">
        <v>25</v>
      </c>
      <c r="E692">
        <v>47500</v>
      </c>
      <c r="F692">
        <v>590760</v>
      </c>
      <c r="G692">
        <v>8.0399999999999991</v>
      </c>
    </row>
    <row r="693" spans="1:7" x14ac:dyDescent="0.45">
      <c r="A693" t="s">
        <v>9</v>
      </c>
      <c r="B693">
        <v>2018</v>
      </c>
      <c r="C693" s="1">
        <v>43925</v>
      </c>
      <c r="D693" t="s">
        <v>25</v>
      </c>
      <c r="E693">
        <v>192526</v>
      </c>
      <c r="F693">
        <v>2465297</v>
      </c>
      <c r="G693">
        <v>7.81</v>
      </c>
    </row>
    <row r="694" spans="1:7" x14ac:dyDescent="0.45">
      <c r="A694" t="s">
        <v>10</v>
      </c>
      <c r="B694">
        <v>2018</v>
      </c>
      <c r="C694" s="1">
        <v>43925</v>
      </c>
      <c r="D694" t="s">
        <v>25</v>
      </c>
      <c r="E694">
        <v>417776</v>
      </c>
      <c r="F694">
        <v>4715895</v>
      </c>
      <c r="G694">
        <v>8.86</v>
      </c>
    </row>
    <row r="695" spans="1:7" x14ac:dyDescent="0.45">
      <c r="A695" t="s">
        <v>11</v>
      </c>
      <c r="B695">
        <v>2018</v>
      </c>
      <c r="C695" s="1">
        <v>43925</v>
      </c>
      <c r="D695" t="s">
        <v>25</v>
      </c>
      <c r="E695">
        <v>184006</v>
      </c>
      <c r="F695">
        <v>3019150</v>
      </c>
      <c r="G695">
        <v>6.09</v>
      </c>
    </row>
    <row r="696" spans="1:7" x14ac:dyDescent="0.45">
      <c r="A696" t="s">
        <v>12</v>
      </c>
      <c r="B696">
        <v>2018</v>
      </c>
      <c r="C696" s="1">
        <v>43925</v>
      </c>
      <c r="D696" t="s">
        <v>25</v>
      </c>
      <c r="E696">
        <v>1538907</v>
      </c>
      <c r="F696">
        <v>17980787</v>
      </c>
      <c r="G696">
        <v>8.56</v>
      </c>
    </row>
    <row r="697" spans="1:7" x14ac:dyDescent="0.45">
      <c r="A697" t="s">
        <v>13</v>
      </c>
      <c r="B697">
        <v>2018</v>
      </c>
      <c r="C697" s="1">
        <v>43925</v>
      </c>
      <c r="D697" t="s">
        <v>25</v>
      </c>
      <c r="E697">
        <v>837870</v>
      </c>
      <c r="F697">
        <v>10533371</v>
      </c>
      <c r="G697">
        <v>7.95</v>
      </c>
    </row>
    <row r="698" spans="1:7" x14ac:dyDescent="0.45">
      <c r="A698" t="s">
        <v>14</v>
      </c>
      <c r="B698">
        <v>2018</v>
      </c>
      <c r="C698" s="1">
        <v>43925</v>
      </c>
      <c r="D698" t="s">
        <v>25</v>
      </c>
      <c r="E698">
        <v>206517</v>
      </c>
      <c r="F698">
        <v>2364319</v>
      </c>
      <c r="G698">
        <v>8.73</v>
      </c>
    </row>
    <row r="699" spans="1:7" x14ac:dyDescent="0.45">
      <c r="A699" t="s">
        <v>15</v>
      </c>
      <c r="B699">
        <v>2018</v>
      </c>
      <c r="C699" s="1">
        <v>43925</v>
      </c>
      <c r="D699" t="s">
        <v>25</v>
      </c>
      <c r="E699">
        <v>294142</v>
      </c>
      <c r="F699">
        <v>3681254</v>
      </c>
      <c r="G699">
        <v>7.99</v>
      </c>
    </row>
    <row r="700" spans="1:7" x14ac:dyDescent="0.45">
      <c r="A700" t="s">
        <v>17</v>
      </c>
      <c r="B700">
        <v>2018</v>
      </c>
      <c r="C700" s="1">
        <v>43925</v>
      </c>
      <c r="D700" t="s">
        <v>25</v>
      </c>
      <c r="E700">
        <v>449586</v>
      </c>
      <c r="F700">
        <v>5844357</v>
      </c>
      <c r="G700">
        <v>7.69</v>
      </c>
    </row>
    <row r="701" spans="1:7" x14ac:dyDescent="0.45">
      <c r="A701" t="s">
        <v>18</v>
      </c>
      <c r="B701">
        <v>2018</v>
      </c>
      <c r="C701" s="1">
        <v>43925</v>
      </c>
      <c r="D701" t="s">
        <v>25</v>
      </c>
      <c r="E701">
        <v>473101</v>
      </c>
      <c r="F701">
        <v>5056750</v>
      </c>
      <c r="G701">
        <v>9.36</v>
      </c>
    </row>
    <row r="702" spans="1:7" x14ac:dyDescent="0.45">
      <c r="A702" t="s">
        <v>19</v>
      </c>
      <c r="B702">
        <v>2018</v>
      </c>
      <c r="C702" s="1">
        <v>43925</v>
      </c>
      <c r="D702" t="s">
        <v>25</v>
      </c>
      <c r="E702">
        <v>80573</v>
      </c>
      <c r="F702">
        <v>615077</v>
      </c>
      <c r="G702">
        <v>13.1</v>
      </c>
    </row>
    <row r="703" spans="1:7" x14ac:dyDescent="0.45">
      <c r="A703" t="s">
        <v>24</v>
      </c>
      <c r="B703">
        <v>2018</v>
      </c>
      <c r="C703" s="1">
        <v>43925</v>
      </c>
      <c r="D703" t="s">
        <v>25</v>
      </c>
      <c r="E703">
        <v>302196</v>
      </c>
      <c r="F703">
        <v>3509161</v>
      </c>
      <c r="G703">
        <v>8.61</v>
      </c>
    </row>
    <row r="704" spans="1:7" x14ac:dyDescent="0.45">
      <c r="A704" t="s">
        <v>20</v>
      </c>
      <c r="B704">
        <v>2018</v>
      </c>
      <c r="C704" s="1">
        <v>43925</v>
      </c>
      <c r="D704" t="s">
        <v>25</v>
      </c>
      <c r="E704">
        <v>2498038</v>
      </c>
      <c r="F704">
        <v>22899863</v>
      </c>
      <c r="G704">
        <v>10.91</v>
      </c>
    </row>
    <row r="705" spans="1:7" x14ac:dyDescent="0.45">
      <c r="A705" t="s">
        <v>21</v>
      </c>
      <c r="B705">
        <v>2018</v>
      </c>
      <c r="C705" s="1">
        <v>43925</v>
      </c>
      <c r="D705" t="s">
        <v>25</v>
      </c>
      <c r="E705">
        <v>532145</v>
      </c>
      <c r="F705">
        <v>7056421</v>
      </c>
      <c r="G705">
        <v>7.54</v>
      </c>
    </row>
    <row r="706" spans="1:7" x14ac:dyDescent="0.45">
      <c r="A706" t="s">
        <v>7</v>
      </c>
      <c r="B706">
        <v>2018</v>
      </c>
      <c r="C706" s="1">
        <v>43956</v>
      </c>
      <c r="D706" t="s">
        <v>8</v>
      </c>
      <c r="E706">
        <v>70082</v>
      </c>
      <c r="F706">
        <v>590760</v>
      </c>
      <c r="G706">
        <v>11.86</v>
      </c>
    </row>
    <row r="707" spans="1:7" x14ac:dyDescent="0.45">
      <c r="A707" t="s">
        <v>9</v>
      </c>
      <c r="B707">
        <v>2018</v>
      </c>
      <c r="C707" s="1">
        <v>43956</v>
      </c>
      <c r="D707" t="s">
        <v>8</v>
      </c>
      <c r="E707">
        <v>141942</v>
      </c>
      <c r="F707">
        <v>2465297</v>
      </c>
      <c r="G707">
        <v>5.76</v>
      </c>
    </row>
    <row r="708" spans="1:7" x14ac:dyDescent="0.45">
      <c r="A708" t="s">
        <v>10</v>
      </c>
      <c r="B708">
        <v>2018</v>
      </c>
      <c r="C708" s="1">
        <v>43956</v>
      </c>
      <c r="D708" t="s">
        <v>8</v>
      </c>
      <c r="E708">
        <v>526188</v>
      </c>
      <c r="F708">
        <v>4715895</v>
      </c>
      <c r="G708">
        <v>11.16</v>
      </c>
    </row>
    <row r="709" spans="1:7" x14ac:dyDescent="0.45">
      <c r="A709" t="s">
        <v>11</v>
      </c>
      <c r="B709">
        <v>2018</v>
      </c>
      <c r="C709" s="1">
        <v>43956</v>
      </c>
      <c r="D709" t="s">
        <v>8</v>
      </c>
      <c r="E709">
        <v>267882</v>
      </c>
      <c r="F709">
        <v>3019150</v>
      </c>
      <c r="G709">
        <v>8.8699999999999992</v>
      </c>
    </row>
    <row r="710" spans="1:7" x14ac:dyDescent="0.45">
      <c r="A710" t="s">
        <v>12</v>
      </c>
      <c r="B710">
        <v>2018</v>
      </c>
      <c r="C710" s="1">
        <v>43956</v>
      </c>
      <c r="D710" t="s">
        <v>8</v>
      </c>
      <c r="E710">
        <v>1824195</v>
      </c>
      <c r="F710">
        <v>17980787</v>
      </c>
      <c r="G710">
        <v>10.15</v>
      </c>
    </row>
    <row r="711" spans="1:7" x14ac:dyDescent="0.45">
      <c r="A711" t="s">
        <v>13</v>
      </c>
      <c r="B711">
        <v>2018</v>
      </c>
      <c r="C711" s="1">
        <v>43956</v>
      </c>
      <c r="D711" t="s">
        <v>8</v>
      </c>
      <c r="E711">
        <v>865775</v>
      </c>
      <c r="F711">
        <v>10533371</v>
      </c>
      <c r="G711">
        <v>8.2200000000000006</v>
      </c>
    </row>
    <row r="712" spans="1:7" x14ac:dyDescent="0.45">
      <c r="A712" t="s">
        <v>14</v>
      </c>
      <c r="B712">
        <v>2018</v>
      </c>
      <c r="C712" s="1">
        <v>43956</v>
      </c>
      <c r="D712" t="s">
        <v>8</v>
      </c>
      <c r="E712">
        <v>156821</v>
      </c>
      <c r="F712">
        <v>2364319</v>
      </c>
      <c r="G712">
        <v>6.63</v>
      </c>
    </row>
    <row r="713" spans="1:7" x14ac:dyDescent="0.45">
      <c r="A713" t="s">
        <v>15</v>
      </c>
      <c r="B713">
        <v>2018</v>
      </c>
      <c r="C713" s="1">
        <v>43956</v>
      </c>
      <c r="D713" t="s">
        <v>8</v>
      </c>
      <c r="E713">
        <v>260609</v>
      </c>
      <c r="F713">
        <v>3681254</v>
      </c>
      <c r="G713">
        <v>7.08</v>
      </c>
    </row>
    <row r="714" spans="1:7" x14ac:dyDescent="0.45">
      <c r="A714" t="s">
        <v>16</v>
      </c>
      <c r="B714">
        <v>2018</v>
      </c>
      <c r="C714" s="1">
        <v>43956</v>
      </c>
      <c r="D714" t="s">
        <v>8</v>
      </c>
      <c r="E714">
        <v>356129</v>
      </c>
      <c r="F714">
        <v>3803169</v>
      </c>
      <c r="G714">
        <v>9.36</v>
      </c>
    </row>
    <row r="715" spans="1:7" x14ac:dyDescent="0.45">
      <c r="A715" t="s">
        <v>17</v>
      </c>
      <c r="B715">
        <v>2018</v>
      </c>
      <c r="C715" s="1">
        <v>43956</v>
      </c>
      <c r="D715" t="s">
        <v>8</v>
      </c>
      <c r="E715">
        <v>511271</v>
      </c>
      <c r="F715">
        <v>5844357</v>
      </c>
      <c r="G715">
        <v>8.75</v>
      </c>
    </row>
    <row r="716" spans="1:7" x14ac:dyDescent="0.45">
      <c r="A716" t="s">
        <v>18</v>
      </c>
      <c r="B716">
        <v>2018</v>
      </c>
      <c r="C716" s="1">
        <v>43956</v>
      </c>
      <c r="D716" t="s">
        <v>8</v>
      </c>
      <c r="E716">
        <v>472771</v>
      </c>
      <c r="F716">
        <v>5056750</v>
      </c>
      <c r="G716">
        <v>9.35</v>
      </c>
    </row>
    <row r="717" spans="1:7" x14ac:dyDescent="0.45">
      <c r="A717" t="s">
        <v>19</v>
      </c>
      <c r="B717">
        <v>2018</v>
      </c>
      <c r="C717" s="1">
        <v>43956</v>
      </c>
      <c r="D717" t="s">
        <v>8</v>
      </c>
      <c r="E717">
        <v>73532</v>
      </c>
      <c r="F717">
        <v>615077</v>
      </c>
      <c r="G717">
        <v>11.95</v>
      </c>
    </row>
    <row r="718" spans="1:7" x14ac:dyDescent="0.45">
      <c r="A718" t="s">
        <v>20</v>
      </c>
      <c r="B718">
        <v>2018</v>
      </c>
      <c r="C718" s="1">
        <v>43956</v>
      </c>
      <c r="D718" t="s">
        <v>8</v>
      </c>
      <c r="E718">
        <v>1260304</v>
      </c>
      <c r="F718">
        <v>22899863</v>
      </c>
      <c r="G718">
        <v>5.5</v>
      </c>
    </row>
    <row r="719" spans="1:7" x14ac:dyDescent="0.45">
      <c r="A719" t="s">
        <v>21</v>
      </c>
      <c r="B719">
        <v>2018</v>
      </c>
      <c r="C719" s="1">
        <v>43956</v>
      </c>
      <c r="D719" t="s">
        <v>8</v>
      </c>
      <c r="E719">
        <v>414123</v>
      </c>
      <c r="F719">
        <v>7056421</v>
      </c>
      <c r="G719">
        <v>5.87</v>
      </c>
    </row>
    <row r="720" spans="1:7" x14ac:dyDescent="0.45">
      <c r="A720" t="s">
        <v>22</v>
      </c>
      <c r="B720">
        <v>2018</v>
      </c>
      <c r="C720" s="1">
        <v>43956</v>
      </c>
      <c r="D720" t="s">
        <v>8</v>
      </c>
      <c r="E720">
        <v>579947</v>
      </c>
      <c r="F720">
        <v>4829270</v>
      </c>
      <c r="G720">
        <v>12.01</v>
      </c>
    </row>
    <row r="721" spans="1:7" x14ac:dyDescent="0.45">
      <c r="A721" t="s">
        <v>7</v>
      </c>
      <c r="B721">
        <v>2018</v>
      </c>
      <c r="C721" s="1">
        <v>43956</v>
      </c>
      <c r="D721" t="s">
        <v>23</v>
      </c>
      <c r="E721">
        <v>29332</v>
      </c>
      <c r="F721">
        <v>590760</v>
      </c>
      <c r="G721">
        <v>4.97</v>
      </c>
    </row>
    <row r="722" spans="1:7" x14ac:dyDescent="0.45">
      <c r="A722" t="s">
        <v>9</v>
      </c>
      <c r="B722">
        <v>2018</v>
      </c>
      <c r="C722" s="1">
        <v>43956</v>
      </c>
      <c r="D722" t="s">
        <v>23</v>
      </c>
      <c r="E722">
        <v>49846</v>
      </c>
      <c r="F722">
        <v>2465297</v>
      </c>
      <c r="G722">
        <v>2.02</v>
      </c>
    </row>
    <row r="723" spans="1:7" x14ac:dyDescent="0.45">
      <c r="A723" t="s">
        <v>10</v>
      </c>
      <c r="B723">
        <v>2018</v>
      </c>
      <c r="C723" s="1">
        <v>43956</v>
      </c>
      <c r="D723" t="s">
        <v>23</v>
      </c>
      <c r="E723">
        <v>208957</v>
      </c>
      <c r="F723">
        <v>4715895</v>
      </c>
      <c r="G723">
        <v>4.43</v>
      </c>
    </row>
    <row r="724" spans="1:7" x14ac:dyDescent="0.45">
      <c r="A724" t="s">
        <v>11</v>
      </c>
      <c r="B724">
        <v>2018</v>
      </c>
      <c r="C724" s="1">
        <v>43956</v>
      </c>
      <c r="D724" t="s">
        <v>23</v>
      </c>
      <c r="E724">
        <v>157170</v>
      </c>
      <c r="F724">
        <v>3019150</v>
      </c>
      <c r="G724">
        <v>5.21</v>
      </c>
    </row>
    <row r="725" spans="1:7" x14ac:dyDescent="0.45">
      <c r="A725" t="s">
        <v>12</v>
      </c>
      <c r="B725">
        <v>2018</v>
      </c>
      <c r="C725" s="1">
        <v>43956</v>
      </c>
      <c r="D725" t="s">
        <v>23</v>
      </c>
      <c r="E725">
        <v>808772</v>
      </c>
      <c r="F725">
        <v>17980787</v>
      </c>
      <c r="G725">
        <v>4.5</v>
      </c>
    </row>
    <row r="726" spans="1:7" x14ac:dyDescent="0.45">
      <c r="A726" t="s">
        <v>13</v>
      </c>
      <c r="B726">
        <v>2018</v>
      </c>
      <c r="C726" s="1">
        <v>43956</v>
      </c>
      <c r="D726" t="s">
        <v>23</v>
      </c>
      <c r="E726">
        <v>443319</v>
      </c>
      <c r="F726">
        <v>10533371</v>
      </c>
      <c r="G726">
        <v>4.21</v>
      </c>
    </row>
    <row r="727" spans="1:7" x14ac:dyDescent="0.45">
      <c r="A727" t="s">
        <v>15</v>
      </c>
      <c r="B727">
        <v>2018</v>
      </c>
      <c r="C727" s="1">
        <v>43956</v>
      </c>
      <c r="D727" t="s">
        <v>23</v>
      </c>
      <c r="E727">
        <v>70075</v>
      </c>
      <c r="F727">
        <v>3681254</v>
      </c>
      <c r="G727">
        <v>1.9</v>
      </c>
    </row>
    <row r="728" spans="1:7" x14ac:dyDescent="0.45">
      <c r="A728" t="s">
        <v>16</v>
      </c>
      <c r="B728">
        <v>2018</v>
      </c>
      <c r="C728" s="1">
        <v>43956</v>
      </c>
      <c r="D728" t="s">
        <v>23</v>
      </c>
      <c r="E728">
        <v>111727</v>
      </c>
      <c r="F728">
        <v>3803169</v>
      </c>
      <c r="G728">
        <v>2.94</v>
      </c>
    </row>
    <row r="729" spans="1:7" x14ac:dyDescent="0.45">
      <c r="A729" t="s">
        <v>17</v>
      </c>
      <c r="B729">
        <v>2018</v>
      </c>
      <c r="C729" s="1">
        <v>43956</v>
      </c>
      <c r="D729" t="s">
        <v>23</v>
      </c>
      <c r="E729">
        <v>336487</v>
      </c>
      <c r="F729">
        <v>5844357</v>
      </c>
      <c r="G729">
        <v>5.76</v>
      </c>
    </row>
    <row r="730" spans="1:7" x14ac:dyDescent="0.45">
      <c r="A730" t="s">
        <v>18</v>
      </c>
      <c r="B730">
        <v>2018</v>
      </c>
      <c r="C730" s="1">
        <v>43956</v>
      </c>
      <c r="D730" t="s">
        <v>23</v>
      </c>
      <c r="E730">
        <v>185444</v>
      </c>
      <c r="F730">
        <v>5056750</v>
      </c>
      <c r="G730">
        <v>3.67</v>
      </c>
    </row>
    <row r="731" spans="1:7" x14ac:dyDescent="0.45">
      <c r="A731" t="s">
        <v>19</v>
      </c>
      <c r="B731">
        <v>2018</v>
      </c>
      <c r="C731" s="1">
        <v>43956</v>
      </c>
      <c r="D731" t="s">
        <v>23</v>
      </c>
      <c r="E731">
        <v>15325</v>
      </c>
      <c r="F731">
        <v>615077</v>
      </c>
      <c r="G731">
        <v>2.4900000000000002</v>
      </c>
    </row>
    <row r="732" spans="1:7" x14ac:dyDescent="0.45">
      <c r="A732" t="s">
        <v>24</v>
      </c>
      <c r="B732">
        <v>2018</v>
      </c>
      <c r="C732" s="1">
        <v>43956</v>
      </c>
      <c r="D732" t="s">
        <v>23</v>
      </c>
      <c r="E732">
        <v>147592</v>
      </c>
      <c r="F732">
        <v>3509161</v>
      </c>
      <c r="G732">
        <v>4.21</v>
      </c>
    </row>
    <row r="733" spans="1:7" x14ac:dyDescent="0.45">
      <c r="A733" t="s">
        <v>20</v>
      </c>
      <c r="B733">
        <v>2018</v>
      </c>
      <c r="C733" s="1">
        <v>43956</v>
      </c>
      <c r="D733" t="s">
        <v>23</v>
      </c>
      <c r="E733">
        <v>579693</v>
      </c>
      <c r="F733">
        <v>22899863</v>
      </c>
      <c r="G733">
        <v>2.5299999999999998</v>
      </c>
    </row>
    <row r="734" spans="1:7" x14ac:dyDescent="0.45">
      <c r="A734" t="s">
        <v>21</v>
      </c>
      <c r="B734">
        <v>2018</v>
      </c>
      <c r="C734" s="1">
        <v>43956</v>
      </c>
      <c r="D734" t="s">
        <v>23</v>
      </c>
      <c r="E734">
        <v>309908</v>
      </c>
      <c r="F734">
        <v>7056421</v>
      </c>
      <c r="G734">
        <v>4.3899999999999997</v>
      </c>
    </row>
    <row r="735" spans="1:7" x14ac:dyDescent="0.45">
      <c r="A735" t="s">
        <v>22</v>
      </c>
      <c r="B735">
        <v>2018</v>
      </c>
      <c r="C735" s="1">
        <v>43956</v>
      </c>
      <c r="D735" t="s">
        <v>23</v>
      </c>
      <c r="E735">
        <v>159075</v>
      </c>
      <c r="F735">
        <v>4829270</v>
      </c>
      <c r="G735">
        <v>3.29</v>
      </c>
    </row>
    <row r="736" spans="1:7" x14ac:dyDescent="0.45">
      <c r="A736" t="s">
        <v>7</v>
      </c>
      <c r="B736">
        <v>2018</v>
      </c>
      <c r="C736" s="1">
        <v>43956</v>
      </c>
      <c r="D736" t="s">
        <v>25</v>
      </c>
      <c r="E736">
        <v>66201</v>
      </c>
      <c r="F736">
        <v>590760</v>
      </c>
      <c r="G736">
        <v>11.21</v>
      </c>
    </row>
    <row r="737" spans="1:7" x14ac:dyDescent="0.45">
      <c r="A737" t="s">
        <v>9</v>
      </c>
      <c r="B737">
        <v>2018</v>
      </c>
      <c r="C737" s="1">
        <v>43956</v>
      </c>
      <c r="D737" t="s">
        <v>25</v>
      </c>
      <c r="E737">
        <v>187597</v>
      </c>
      <c r="F737">
        <v>2465297</v>
      </c>
      <c r="G737">
        <v>7.61</v>
      </c>
    </row>
    <row r="738" spans="1:7" x14ac:dyDescent="0.45">
      <c r="A738" t="s">
        <v>10</v>
      </c>
      <c r="B738">
        <v>2018</v>
      </c>
      <c r="C738" s="1">
        <v>43956</v>
      </c>
      <c r="D738" t="s">
        <v>25</v>
      </c>
      <c r="E738">
        <v>512621</v>
      </c>
      <c r="F738">
        <v>4715895</v>
      </c>
      <c r="G738">
        <v>10.87</v>
      </c>
    </row>
    <row r="739" spans="1:7" x14ac:dyDescent="0.45">
      <c r="A739" t="s">
        <v>11</v>
      </c>
      <c r="B739">
        <v>2018</v>
      </c>
      <c r="C739" s="1">
        <v>43956</v>
      </c>
      <c r="D739" t="s">
        <v>25</v>
      </c>
      <c r="E739">
        <v>238154</v>
      </c>
      <c r="F739">
        <v>3019150</v>
      </c>
      <c r="G739">
        <v>7.89</v>
      </c>
    </row>
    <row r="740" spans="1:7" x14ac:dyDescent="0.45">
      <c r="A740" t="s">
        <v>12</v>
      </c>
      <c r="B740">
        <v>2018</v>
      </c>
      <c r="C740" s="1">
        <v>43956</v>
      </c>
      <c r="D740" t="s">
        <v>25</v>
      </c>
      <c r="E740">
        <v>1719218</v>
      </c>
      <c r="F740">
        <v>17980787</v>
      </c>
      <c r="G740">
        <v>9.56</v>
      </c>
    </row>
    <row r="741" spans="1:7" x14ac:dyDescent="0.45">
      <c r="A741" t="s">
        <v>13</v>
      </c>
      <c r="B741">
        <v>2018</v>
      </c>
      <c r="C741" s="1">
        <v>43956</v>
      </c>
      <c r="D741" t="s">
        <v>25</v>
      </c>
      <c r="E741">
        <v>1218440</v>
      </c>
      <c r="F741">
        <v>10533371</v>
      </c>
      <c r="G741">
        <v>11.57</v>
      </c>
    </row>
    <row r="742" spans="1:7" x14ac:dyDescent="0.45">
      <c r="A742" t="s">
        <v>14</v>
      </c>
      <c r="B742">
        <v>2018</v>
      </c>
      <c r="C742" s="1">
        <v>43956</v>
      </c>
      <c r="D742" t="s">
        <v>25</v>
      </c>
      <c r="E742">
        <v>190342</v>
      </c>
      <c r="F742">
        <v>2364319</v>
      </c>
      <c r="G742">
        <v>8.0500000000000007</v>
      </c>
    </row>
    <row r="743" spans="1:7" x14ac:dyDescent="0.45">
      <c r="A743" t="s">
        <v>15</v>
      </c>
      <c r="B743">
        <v>2018</v>
      </c>
      <c r="C743" s="1">
        <v>43956</v>
      </c>
      <c r="D743" t="s">
        <v>25</v>
      </c>
      <c r="E743">
        <v>273489</v>
      </c>
      <c r="F743">
        <v>3681254</v>
      </c>
      <c r="G743">
        <v>7.43</v>
      </c>
    </row>
    <row r="744" spans="1:7" x14ac:dyDescent="0.45">
      <c r="A744" t="s">
        <v>17</v>
      </c>
      <c r="B744">
        <v>2018</v>
      </c>
      <c r="C744" s="1">
        <v>43956</v>
      </c>
      <c r="D744" t="s">
        <v>25</v>
      </c>
      <c r="E744">
        <v>539107</v>
      </c>
      <c r="F744">
        <v>5844357</v>
      </c>
      <c r="G744">
        <v>9.2200000000000006</v>
      </c>
    </row>
    <row r="745" spans="1:7" x14ac:dyDescent="0.45">
      <c r="A745" t="s">
        <v>18</v>
      </c>
      <c r="B745">
        <v>2018</v>
      </c>
      <c r="C745" s="1">
        <v>43956</v>
      </c>
      <c r="D745" t="s">
        <v>25</v>
      </c>
      <c r="E745">
        <v>510829</v>
      </c>
      <c r="F745">
        <v>5056750</v>
      </c>
      <c r="G745">
        <v>10.1</v>
      </c>
    </row>
    <row r="746" spans="1:7" x14ac:dyDescent="0.45">
      <c r="A746" t="s">
        <v>19</v>
      </c>
      <c r="B746">
        <v>2018</v>
      </c>
      <c r="C746" s="1">
        <v>43956</v>
      </c>
      <c r="D746" t="s">
        <v>25</v>
      </c>
      <c r="E746">
        <v>90124</v>
      </c>
      <c r="F746">
        <v>615077</v>
      </c>
      <c r="G746">
        <v>14.65</v>
      </c>
    </row>
    <row r="747" spans="1:7" x14ac:dyDescent="0.45">
      <c r="A747" t="s">
        <v>24</v>
      </c>
      <c r="B747">
        <v>2018</v>
      </c>
      <c r="C747" s="1">
        <v>43956</v>
      </c>
      <c r="D747" t="s">
        <v>25</v>
      </c>
      <c r="E747">
        <v>374295</v>
      </c>
      <c r="F747">
        <v>3509161</v>
      </c>
      <c r="G747">
        <v>10.67</v>
      </c>
    </row>
    <row r="748" spans="1:7" x14ac:dyDescent="0.45">
      <c r="A748" t="s">
        <v>20</v>
      </c>
      <c r="B748">
        <v>2018</v>
      </c>
      <c r="C748" s="1">
        <v>43956</v>
      </c>
      <c r="D748" t="s">
        <v>25</v>
      </c>
      <c r="E748">
        <v>2228984</v>
      </c>
      <c r="F748">
        <v>22899863</v>
      </c>
      <c r="G748">
        <v>9.73</v>
      </c>
    </row>
    <row r="749" spans="1:7" x14ac:dyDescent="0.45">
      <c r="A749" t="s">
        <v>21</v>
      </c>
      <c r="B749">
        <v>2018</v>
      </c>
      <c r="C749" s="1">
        <v>43956</v>
      </c>
      <c r="D749" t="s">
        <v>25</v>
      </c>
      <c r="E749">
        <v>671952</v>
      </c>
      <c r="F749">
        <v>7056421</v>
      </c>
      <c r="G749">
        <v>9.52</v>
      </c>
    </row>
    <row r="750" spans="1:7" x14ac:dyDescent="0.45">
      <c r="A750" t="s">
        <v>7</v>
      </c>
      <c r="B750">
        <v>2018</v>
      </c>
      <c r="C750" s="1">
        <v>43988</v>
      </c>
      <c r="D750" t="s">
        <v>8</v>
      </c>
      <c r="E750">
        <v>73290</v>
      </c>
      <c r="F750">
        <v>590760</v>
      </c>
      <c r="G750">
        <v>12.41</v>
      </c>
    </row>
    <row r="751" spans="1:7" x14ac:dyDescent="0.45">
      <c r="A751" t="s">
        <v>9</v>
      </c>
      <c r="B751">
        <v>2018</v>
      </c>
      <c r="C751" s="1">
        <v>43988</v>
      </c>
      <c r="D751" t="s">
        <v>8</v>
      </c>
      <c r="E751">
        <v>146683</v>
      </c>
      <c r="F751">
        <v>2465297</v>
      </c>
      <c r="G751">
        <v>5.95</v>
      </c>
    </row>
    <row r="752" spans="1:7" x14ac:dyDescent="0.45">
      <c r="A752" t="s">
        <v>10</v>
      </c>
      <c r="B752">
        <v>2018</v>
      </c>
      <c r="C752" s="1">
        <v>43988</v>
      </c>
      <c r="D752" t="s">
        <v>8</v>
      </c>
      <c r="E752">
        <v>593124</v>
      </c>
      <c r="F752">
        <v>4715895</v>
      </c>
      <c r="G752">
        <v>12.58</v>
      </c>
    </row>
    <row r="753" spans="1:7" x14ac:dyDescent="0.45">
      <c r="A753" t="s">
        <v>11</v>
      </c>
      <c r="B753">
        <v>2018</v>
      </c>
      <c r="C753" s="1">
        <v>43988</v>
      </c>
      <c r="D753" t="s">
        <v>8</v>
      </c>
      <c r="E753">
        <v>298380</v>
      </c>
      <c r="F753">
        <v>3019150</v>
      </c>
      <c r="G753">
        <v>9.8800000000000008</v>
      </c>
    </row>
    <row r="754" spans="1:7" x14ac:dyDescent="0.45">
      <c r="A754" t="s">
        <v>12</v>
      </c>
      <c r="B754">
        <v>2018</v>
      </c>
      <c r="C754" s="1">
        <v>43988</v>
      </c>
      <c r="D754" t="s">
        <v>8</v>
      </c>
      <c r="E754">
        <v>1872797</v>
      </c>
      <c r="F754">
        <v>17980787</v>
      </c>
      <c r="G754">
        <v>10.42</v>
      </c>
    </row>
    <row r="755" spans="1:7" x14ac:dyDescent="0.45">
      <c r="A755" t="s">
        <v>13</v>
      </c>
      <c r="B755">
        <v>2018</v>
      </c>
      <c r="C755" s="1">
        <v>43988</v>
      </c>
      <c r="D755" t="s">
        <v>8</v>
      </c>
      <c r="E755">
        <v>945653</v>
      </c>
      <c r="F755">
        <v>10533371</v>
      </c>
      <c r="G755">
        <v>8.98</v>
      </c>
    </row>
    <row r="756" spans="1:7" x14ac:dyDescent="0.45">
      <c r="A756" t="s">
        <v>14</v>
      </c>
      <c r="B756">
        <v>2018</v>
      </c>
      <c r="C756" s="1">
        <v>43988</v>
      </c>
      <c r="D756" t="s">
        <v>8</v>
      </c>
      <c r="E756">
        <v>168734</v>
      </c>
      <c r="F756">
        <v>2364319</v>
      </c>
      <c r="G756">
        <v>7.14</v>
      </c>
    </row>
    <row r="757" spans="1:7" x14ac:dyDescent="0.45">
      <c r="A757" t="s">
        <v>15</v>
      </c>
      <c r="B757">
        <v>2018</v>
      </c>
      <c r="C757" s="1">
        <v>43988</v>
      </c>
      <c r="D757" t="s">
        <v>8</v>
      </c>
      <c r="E757">
        <v>275082</v>
      </c>
      <c r="F757">
        <v>3681254</v>
      </c>
      <c r="G757">
        <v>7.47</v>
      </c>
    </row>
    <row r="758" spans="1:7" x14ac:dyDescent="0.45">
      <c r="A758" t="s">
        <v>16</v>
      </c>
      <c r="B758">
        <v>2018</v>
      </c>
      <c r="C758" s="1">
        <v>43988</v>
      </c>
      <c r="D758" t="s">
        <v>8</v>
      </c>
      <c r="E758">
        <v>335988</v>
      </c>
      <c r="F758">
        <v>3803169</v>
      </c>
      <c r="G758">
        <v>8.83</v>
      </c>
    </row>
    <row r="759" spans="1:7" x14ac:dyDescent="0.45">
      <c r="A759" t="s">
        <v>17</v>
      </c>
      <c r="B759">
        <v>2018</v>
      </c>
      <c r="C759" s="1">
        <v>43988</v>
      </c>
      <c r="D759" t="s">
        <v>8</v>
      </c>
      <c r="E759">
        <v>775356</v>
      </c>
      <c r="F759">
        <v>5844357</v>
      </c>
      <c r="G759">
        <v>13.27</v>
      </c>
    </row>
    <row r="760" spans="1:7" x14ac:dyDescent="0.45">
      <c r="A760" t="s">
        <v>18</v>
      </c>
      <c r="B760">
        <v>2018</v>
      </c>
      <c r="C760" s="1">
        <v>43988</v>
      </c>
      <c r="D760" t="s">
        <v>8</v>
      </c>
      <c r="E760">
        <v>454407</v>
      </c>
      <c r="F760">
        <v>5056750</v>
      </c>
      <c r="G760">
        <v>8.99</v>
      </c>
    </row>
    <row r="761" spans="1:7" x14ac:dyDescent="0.45">
      <c r="A761" t="s">
        <v>19</v>
      </c>
      <c r="B761">
        <v>2018</v>
      </c>
      <c r="C761" s="1">
        <v>43988</v>
      </c>
      <c r="D761" t="s">
        <v>8</v>
      </c>
      <c r="E761">
        <v>81424</v>
      </c>
      <c r="F761">
        <v>615077</v>
      </c>
      <c r="G761">
        <v>13.24</v>
      </c>
    </row>
    <row r="762" spans="1:7" x14ac:dyDescent="0.45">
      <c r="A762" t="s">
        <v>20</v>
      </c>
      <c r="B762">
        <v>2018</v>
      </c>
      <c r="C762" s="1">
        <v>43988</v>
      </c>
      <c r="D762" t="s">
        <v>8</v>
      </c>
      <c r="E762">
        <v>1409959</v>
      </c>
      <c r="F762">
        <v>22899863</v>
      </c>
      <c r="G762">
        <v>6.16</v>
      </c>
    </row>
    <row r="763" spans="1:7" x14ac:dyDescent="0.45">
      <c r="A763" t="s">
        <v>21</v>
      </c>
      <c r="B763">
        <v>2018</v>
      </c>
      <c r="C763" s="1">
        <v>43988</v>
      </c>
      <c r="D763" t="s">
        <v>8</v>
      </c>
      <c r="E763">
        <v>411138</v>
      </c>
      <c r="F763">
        <v>7056421</v>
      </c>
      <c r="G763">
        <v>5.83</v>
      </c>
    </row>
    <row r="764" spans="1:7" x14ac:dyDescent="0.45">
      <c r="A764" t="s">
        <v>22</v>
      </c>
      <c r="B764">
        <v>2018</v>
      </c>
      <c r="C764" s="1">
        <v>43988</v>
      </c>
      <c r="D764" t="s">
        <v>8</v>
      </c>
      <c r="E764">
        <v>556155</v>
      </c>
      <c r="F764">
        <v>4829270</v>
      </c>
      <c r="G764">
        <v>11.52</v>
      </c>
    </row>
    <row r="765" spans="1:7" x14ac:dyDescent="0.45">
      <c r="A765" t="s">
        <v>7</v>
      </c>
      <c r="B765">
        <v>2018</v>
      </c>
      <c r="C765" s="1">
        <v>43988</v>
      </c>
      <c r="D765" t="s">
        <v>23</v>
      </c>
      <c r="E765">
        <v>30818</v>
      </c>
      <c r="F765">
        <v>590760</v>
      </c>
      <c r="G765">
        <v>5.22</v>
      </c>
    </row>
    <row r="766" spans="1:7" x14ac:dyDescent="0.45">
      <c r="A766" t="s">
        <v>9</v>
      </c>
      <c r="B766">
        <v>2018</v>
      </c>
      <c r="C766" s="1">
        <v>43988</v>
      </c>
      <c r="D766" t="s">
        <v>23</v>
      </c>
      <c r="E766">
        <v>49811</v>
      </c>
      <c r="F766">
        <v>2465297</v>
      </c>
      <c r="G766">
        <v>2.02</v>
      </c>
    </row>
    <row r="767" spans="1:7" x14ac:dyDescent="0.45">
      <c r="A767" t="s">
        <v>10</v>
      </c>
      <c r="B767">
        <v>2018</v>
      </c>
      <c r="C767" s="1">
        <v>43988</v>
      </c>
      <c r="D767" t="s">
        <v>23</v>
      </c>
      <c r="E767">
        <v>212610</v>
      </c>
      <c r="F767">
        <v>4715895</v>
      </c>
      <c r="G767">
        <v>4.51</v>
      </c>
    </row>
    <row r="768" spans="1:7" x14ac:dyDescent="0.45">
      <c r="A768" t="s">
        <v>11</v>
      </c>
      <c r="B768">
        <v>2018</v>
      </c>
      <c r="C768" s="1">
        <v>43988</v>
      </c>
      <c r="D768" t="s">
        <v>23</v>
      </c>
      <c r="E768">
        <v>158062</v>
      </c>
      <c r="F768">
        <v>3019150</v>
      </c>
      <c r="G768">
        <v>5.24</v>
      </c>
    </row>
    <row r="769" spans="1:7" x14ac:dyDescent="0.45">
      <c r="A769" t="s">
        <v>12</v>
      </c>
      <c r="B769">
        <v>2018</v>
      </c>
      <c r="C769" s="1">
        <v>43988</v>
      </c>
      <c r="D769" t="s">
        <v>23</v>
      </c>
      <c r="E769">
        <v>682137</v>
      </c>
      <c r="F769">
        <v>17980787</v>
      </c>
      <c r="G769">
        <v>3.79</v>
      </c>
    </row>
    <row r="770" spans="1:7" x14ac:dyDescent="0.45">
      <c r="A770" t="s">
        <v>13</v>
      </c>
      <c r="B770">
        <v>2018</v>
      </c>
      <c r="C770" s="1">
        <v>43988</v>
      </c>
      <c r="D770" t="s">
        <v>23</v>
      </c>
      <c r="E770">
        <v>427060</v>
      </c>
      <c r="F770">
        <v>10533371</v>
      </c>
      <c r="G770">
        <v>4.05</v>
      </c>
    </row>
    <row r="771" spans="1:7" x14ac:dyDescent="0.45">
      <c r="A771" t="s">
        <v>15</v>
      </c>
      <c r="B771">
        <v>2018</v>
      </c>
      <c r="C771" s="1">
        <v>43988</v>
      </c>
      <c r="D771" t="s">
        <v>23</v>
      </c>
      <c r="E771">
        <v>76669</v>
      </c>
      <c r="F771">
        <v>3681254</v>
      </c>
      <c r="G771">
        <v>2.08</v>
      </c>
    </row>
    <row r="772" spans="1:7" x14ac:dyDescent="0.45">
      <c r="A772" t="s">
        <v>16</v>
      </c>
      <c r="B772">
        <v>2018</v>
      </c>
      <c r="C772" s="1">
        <v>43988</v>
      </c>
      <c r="D772" t="s">
        <v>23</v>
      </c>
      <c r="E772">
        <v>99802</v>
      </c>
      <c r="F772">
        <v>3803169</v>
      </c>
      <c r="G772">
        <v>2.62</v>
      </c>
    </row>
    <row r="773" spans="1:7" x14ac:dyDescent="0.45">
      <c r="A773" t="s">
        <v>17</v>
      </c>
      <c r="B773">
        <v>2018</v>
      </c>
      <c r="C773" s="1">
        <v>43988</v>
      </c>
      <c r="D773" t="s">
        <v>23</v>
      </c>
      <c r="E773">
        <v>411362</v>
      </c>
      <c r="F773">
        <v>5844357</v>
      </c>
      <c r="G773">
        <v>7.04</v>
      </c>
    </row>
    <row r="774" spans="1:7" x14ac:dyDescent="0.45">
      <c r="A774" t="s">
        <v>18</v>
      </c>
      <c r="B774">
        <v>2018</v>
      </c>
      <c r="C774" s="1">
        <v>43988</v>
      </c>
      <c r="D774" t="s">
        <v>23</v>
      </c>
      <c r="E774">
        <v>158957</v>
      </c>
      <c r="F774">
        <v>5056750</v>
      </c>
      <c r="G774">
        <v>3.14</v>
      </c>
    </row>
    <row r="775" spans="1:7" x14ac:dyDescent="0.45">
      <c r="A775" t="s">
        <v>19</v>
      </c>
      <c r="B775">
        <v>2018</v>
      </c>
      <c r="C775" s="1">
        <v>43988</v>
      </c>
      <c r="D775" t="s">
        <v>23</v>
      </c>
      <c r="E775">
        <v>14930</v>
      </c>
      <c r="F775">
        <v>615077</v>
      </c>
      <c r="G775">
        <v>2.4300000000000002</v>
      </c>
    </row>
    <row r="776" spans="1:7" x14ac:dyDescent="0.45">
      <c r="A776" t="s">
        <v>24</v>
      </c>
      <c r="B776">
        <v>2018</v>
      </c>
      <c r="C776" s="1">
        <v>43988</v>
      </c>
      <c r="D776" t="s">
        <v>23</v>
      </c>
      <c r="E776">
        <v>158248</v>
      </c>
      <c r="F776">
        <v>3509161</v>
      </c>
      <c r="G776">
        <v>4.51</v>
      </c>
    </row>
    <row r="777" spans="1:7" x14ac:dyDescent="0.45">
      <c r="A777" t="s">
        <v>20</v>
      </c>
      <c r="B777">
        <v>2018</v>
      </c>
      <c r="C777" s="1">
        <v>43988</v>
      </c>
      <c r="D777" t="s">
        <v>23</v>
      </c>
      <c r="E777">
        <v>679261</v>
      </c>
      <c r="F777">
        <v>22899863</v>
      </c>
      <c r="G777">
        <v>2.97</v>
      </c>
    </row>
    <row r="778" spans="1:7" x14ac:dyDescent="0.45">
      <c r="A778" t="s">
        <v>21</v>
      </c>
      <c r="B778">
        <v>2018</v>
      </c>
      <c r="C778" s="1">
        <v>43988</v>
      </c>
      <c r="D778" t="s">
        <v>23</v>
      </c>
      <c r="E778">
        <v>285127</v>
      </c>
      <c r="F778">
        <v>7056421</v>
      </c>
      <c r="G778">
        <v>4.04</v>
      </c>
    </row>
    <row r="779" spans="1:7" x14ac:dyDescent="0.45">
      <c r="A779" t="s">
        <v>22</v>
      </c>
      <c r="B779">
        <v>2018</v>
      </c>
      <c r="C779" s="1">
        <v>43988</v>
      </c>
      <c r="D779" t="s">
        <v>23</v>
      </c>
      <c r="E779">
        <v>174132</v>
      </c>
      <c r="F779">
        <v>4829270</v>
      </c>
      <c r="G779">
        <v>3.61</v>
      </c>
    </row>
    <row r="780" spans="1:7" x14ac:dyDescent="0.45">
      <c r="A780" t="s">
        <v>7</v>
      </c>
      <c r="B780">
        <v>2018</v>
      </c>
      <c r="C780" s="1">
        <v>43988</v>
      </c>
      <c r="D780" t="s">
        <v>25</v>
      </c>
      <c r="E780">
        <v>68876</v>
      </c>
      <c r="F780">
        <v>590760</v>
      </c>
      <c r="G780">
        <v>11.66</v>
      </c>
    </row>
    <row r="781" spans="1:7" x14ac:dyDescent="0.45">
      <c r="A781" t="s">
        <v>9</v>
      </c>
      <c r="B781">
        <v>2018</v>
      </c>
      <c r="C781" s="1">
        <v>43988</v>
      </c>
      <c r="D781" t="s">
        <v>25</v>
      </c>
      <c r="E781">
        <v>196146</v>
      </c>
      <c r="F781">
        <v>2465297</v>
      </c>
      <c r="G781">
        <v>7.96</v>
      </c>
    </row>
    <row r="782" spans="1:7" x14ac:dyDescent="0.45">
      <c r="A782" t="s">
        <v>10</v>
      </c>
      <c r="B782">
        <v>2018</v>
      </c>
      <c r="C782" s="1">
        <v>43988</v>
      </c>
      <c r="D782" t="s">
        <v>25</v>
      </c>
      <c r="E782">
        <v>546352</v>
      </c>
      <c r="F782">
        <v>4715895</v>
      </c>
      <c r="G782">
        <v>11.59</v>
      </c>
    </row>
    <row r="783" spans="1:7" x14ac:dyDescent="0.45">
      <c r="A783" t="s">
        <v>11</v>
      </c>
      <c r="B783">
        <v>2018</v>
      </c>
      <c r="C783" s="1">
        <v>43988</v>
      </c>
      <c r="D783" t="s">
        <v>25</v>
      </c>
      <c r="E783">
        <v>248665</v>
      </c>
      <c r="F783">
        <v>3019150</v>
      </c>
      <c r="G783">
        <v>8.24</v>
      </c>
    </row>
    <row r="784" spans="1:7" x14ac:dyDescent="0.45">
      <c r="A784" t="s">
        <v>12</v>
      </c>
      <c r="B784">
        <v>2018</v>
      </c>
      <c r="C784" s="1">
        <v>43988</v>
      </c>
      <c r="D784" t="s">
        <v>25</v>
      </c>
      <c r="E784">
        <v>1633520</v>
      </c>
      <c r="F784">
        <v>17980787</v>
      </c>
      <c r="G784">
        <v>9.08</v>
      </c>
    </row>
    <row r="785" spans="1:7" x14ac:dyDescent="0.45">
      <c r="A785" t="s">
        <v>13</v>
      </c>
      <c r="B785">
        <v>2018</v>
      </c>
      <c r="C785" s="1">
        <v>43988</v>
      </c>
      <c r="D785" t="s">
        <v>25</v>
      </c>
      <c r="E785">
        <v>1139716</v>
      </c>
      <c r="F785">
        <v>10533371</v>
      </c>
      <c r="G785">
        <v>10.82</v>
      </c>
    </row>
    <row r="786" spans="1:7" x14ac:dyDescent="0.45">
      <c r="A786" t="s">
        <v>14</v>
      </c>
      <c r="B786">
        <v>2018</v>
      </c>
      <c r="C786" s="1">
        <v>43988</v>
      </c>
      <c r="D786" t="s">
        <v>25</v>
      </c>
      <c r="E786">
        <v>226461</v>
      </c>
      <c r="F786">
        <v>2364319</v>
      </c>
      <c r="G786">
        <v>9.58</v>
      </c>
    </row>
    <row r="787" spans="1:7" x14ac:dyDescent="0.45">
      <c r="A787" t="s">
        <v>15</v>
      </c>
      <c r="B787">
        <v>2018</v>
      </c>
      <c r="C787" s="1">
        <v>43988</v>
      </c>
      <c r="D787" t="s">
        <v>25</v>
      </c>
      <c r="E787">
        <v>301800</v>
      </c>
      <c r="F787">
        <v>3681254</v>
      </c>
      <c r="G787">
        <v>8.1999999999999993</v>
      </c>
    </row>
    <row r="788" spans="1:7" x14ac:dyDescent="0.45">
      <c r="A788" t="s">
        <v>17</v>
      </c>
      <c r="B788">
        <v>2018</v>
      </c>
      <c r="C788" s="1">
        <v>43988</v>
      </c>
      <c r="D788" t="s">
        <v>25</v>
      </c>
      <c r="E788">
        <v>517534</v>
      </c>
      <c r="F788">
        <v>5844357</v>
      </c>
      <c r="G788">
        <v>8.86</v>
      </c>
    </row>
    <row r="789" spans="1:7" x14ac:dyDescent="0.45">
      <c r="A789" t="s">
        <v>18</v>
      </c>
      <c r="B789">
        <v>2018</v>
      </c>
      <c r="C789" s="1">
        <v>43988</v>
      </c>
      <c r="D789" t="s">
        <v>25</v>
      </c>
      <c r="E789">
        <v>558323</v>
      </c>
      <c r="F789">
        <v>5056750</v>
      </c>
      <c r="G789">
        <v>11.04</v>
      </c>
    </row>
    <row r="790" spans="1:7" x14ac:dyDescent="0.45">
      <c r="A790" t="s">
        <v>19</v>
      </c>
      <c r="B790">
        <v>2018</v>
      </c>
      <c r="C790" s="1">
        <v>43988</v>
      </c>
      <c r="D790" t="s">
        <v>25</v>
      </c>
      <c r="E790">
        <v>111698</v>
      </c>
      <c r="F790">
        <v>615077</v>
      </c>
      <c r="G790">
        <v>18.16</v>
      </c>
    </row>
    <row r="791" spans="1:7" x14ac:dyDescent="0.45">
      <c r="A791" t="s">
        <v>24</v>
      </c>
      <c r="B791">
        <v>2018</v>
      </c>
      <c r="C791" s="1">
        <v>43988</v>
      </c>
      <c r="D791" t="s">
        <v>25</v>
      </c>
      <c r="E791">
        <v>398961</v>
      </c>
      <c r="F791">
        <v>3509161</v>
      </c>
      <c r="G791">
        <v>11.37</v>
      </c>
    </row>
    <row r="792" spans="1:7" x14ac:dyDescent="0.45">
      <c r="A792" t="s">
        <v>20</v>
      </c>
      <c r="B792">
        <v>2018</v>
      </c>
      <c r="C792" s="1">
        <v>43988</v>
      </c>
      <c r="D792" t="s">
        <v>25</v>
      </c>
      <c r="E792">
        <v>2843558</v>
      </c>
      <c r="F792">
        <v>22899863</v>
      </c>
      <c r="G792">
        <v>12.42</v>
      </c>
    </row>
    <row r="793" spans="1:7" x14ac:dyDescent="0.45">
      <c r="A793" t="s">
        <v>21</v>
      </c>
      <c r="B793">
        <v>2018</v>
      </c>
      <c r="C793" s="1">
        <v>43988</v>
      </c>
      <c r="D793" t="s">
        <v>25</v>
      </c>
      <c r="E793">
        <v>631407</v>
      </c>
      <c r="F793">
        <v>7056421</v>
      </c>
      <c r="G793">
        <v>8.9499999999999993</v>
      </c>
    </row>
    <row r="794" spans="1:7" x14ac:dyDescent="0.45">
      <c r="A794" t="s">
        <v>7</v>
      </c>
      <c r="B794">
        <v>2018</v>
      </c>
      <c r="C794" s="1">
        <v>44019</v>
      </c>
      <c r="D794" t="s">
        <v>8</v>
      </c>
      <c r="E794">
        <v>72932</v>
      </c>
      <c r="F794">
        <v>590760</v>
      </c>
      <c r="G794">
        <v>12.35</v>
      </c>
    </row>
    <row r="795" spans="1:7" x14ac:dyDescent="0.45">
      <c r="A795" t="s">
        <v>9</v>
      </c>
      <c r="B795">
        <v>2018</v>
      </c>
      <c r="C795" s="1">
        <v>44019</v>
      </c>
      <c r="D795" t="s">
        <v>8</v>
      </c>
      <c r="E795">
        <v>131967</v>
      </c>
      <c r="F795">
        <v>2465297</v>
      </c>
      <c r="G795">
        <v>5.35</v>
      </c>
    </row>
    <row r="796" spans="1:7" x14ac:dyDescent="0.45">
      <c r="A796" t="s">
        <v>10</v>
      </c>
      <c r="B796">
        <v>2018</v>
      </c>
      <c r="C796" s="1">
        <v>44019</v>
      </c>
      <c r="D796" t="s">
        <v>8</v>
      </c>
      <c r="E796">
        <v>444594</v>
      </c>
      <c r="F796">
        <v>4715895</v>
      </c>
      <c r="G796">
        <v>9.43</v>
      </c>
    </row>
    <row r="797" spans="1:7" x14ac:dyDescent="0.45">
      <c r="A797" t="s">
        <v>11</v>
      </c>
      <c r="B797">
        <v>2018</v>
      </c>
      <c r="C797" s="1">
        <v>44019</v>
      </c>
      <c r="D797" t="s">
        <v>8</v>
      </c>
      <c r="E797">
        <v>263800</v>
      </c>
      <c r="F797">
        <v>3019150</v>
      </c>
      <c r="G797">
        <v>8.74</v>
      </c>
    </row>
    <row r="798" spans="1:7" x14ac:dyDescent="0.45">
      <c r="A798" t="s">
        <v>12</v>
      </c>
      <c r="B798">
        <v>2018</v>
      </c>
      <c r="C798" s="1">
        <v>44019</v>
      </c>
      <c r="D798" t="s">
        <v>8</v>
      </c>
      <c r="E798">
        <v>1225551</v>
      </c>
      <c r="F798">
        <v>17980787</v>
      </c>
      <c r="G798">
        <v>6.82</v>
      </c>
    </row>
    <row r="799" spans="1:7" x14ac:dyDescent="0.45">
      <c r="A799" t="s">
        <v>13</v>
      </c>
      <c r="B799">
        <v>2018</v>
      </c>
      <c r="C799" s="1">
        <v>44019</v>
      </c>
      <c r="D799" t="s">
        <v>8</v>
      </c>
      <c r="E799">
        <v>634204</v>
      </c>
      <c r="F799">
        <v>10533371</v>
      </c>
      <c r="G799">
        <v>6.02</v>
      </c>
    </row>
    <row r="800" spans="1:7" x14ac:dyDescent="0.45">
      <c r="A800" t="s">
        <v>14</v>
      </c>
      <c r="B800">
        <v>2018</v>
      </c>
      <c r="C800" s="1">
        <v>44019</v>
      </c>
      <c r="D800" t="s">
        <v>8</v>
      </c>
      <c r="E800">
        <v>179989</v>
      </c>
      <c r="F800">
        <v>2364319</v>
      </c>
      <c r="G800">
        <v>7.61</v>
      </c>
    </row>
    <row r="801" spans="1:7" x14ac:dyDescent="0.45">
      <c r="A801" t="s">
        <v>15</v>
      </c>
      <c r="B801">
        <v>2018</v>
      </c>
      <c r="C801" s="1">
        <v>44019</v>
      </c>
      <c r="D801" t="s">
        <v>8</v>
      </c>
      <c r="E801">
        <v>299499</v>
      </c>
      <c r="F801">
        <v>3681254</v>
      </c>
      <c r="G801">
        <v>8.14</v>
      </c>
    </row>
    <row r="802" spans="1:7" x14ac:dyDescent="0.45">
      <c r="A802" t="s">
        <v>16</v>
      </c>
      <c r="B802">
        <v>2018</v>
      </c>
      <c r="C802" s="1">
        <v>44019</v>
      </c>
      <c r="D802" t="s">
        <v>8</v>
      </c>
      <c r="E802">
        <v>294178</v>
      </c>
      <c r="F802">
        <v>3803169</v>
      </c>
      <c r="G802">
        <v>7.74</v>
      </c>
    </row>
    <row r="803" spans="1:7" x14ac:dyDescent="0.45">
      <c r="A803" t="s">
        <v>17</v>
      </c>
      <c r="B803">
        <v>2018</v>
      </c>
      <c r="C803" s="1">
        <v>44019</v>
      </c>
      <c r="D803" t="s">
        <v>8</v>
      </c>
      <c r="E803">
        <v>367680</v>
      </c>
      <c r="F803">
        <v>5844357</v>
      </c>
      <c r="G803">
        <v>6.29</v>
      </c>
    </row>
    <row r="804" spans="1:7" x14ac:dyDescent="0.45">
      <c r="A804" t="s">
        <v>18</v>
      </c>
      <c r="B804">
        <v>2018</v>
      </c>
      <c r="C804" s="1">
        <v>44019</v>
      </c>
      <c r="D804" t="s">
        <v>8</v>
      </c>
      <c r="E804">
        <v>383758</v>
      </c>
      <c r="F804">
        <v>5056750</v>
      </c>
      <c r="G804">
        <v>7.59</v>
      </c>
    </row>
    <row r="805" spans="1:7" x14ac:dyDescent="0.45">
      <c r="A805" t="s">
        <v>19</v>
      </c>
      <c r="B805">
        <v>2018</v>
      </c>
      <c r="C805" s="1">
        <v>44019</v>
      </c>
      <c r="D805" t="s">
        <v>8</v>
      </c>
      <c r="E805">
        <v>65932</v>
      </c>
      <c r="F805">
        <v>615077</v>
      </c>
      <c r="G805">
        <v>10.72</v>
      </c>
    </row>
    <row r="806" spans="1:7" x14ac:dyDescent="0.45">
      <c r="A806" t="s">
        <v>20</v>
      </c>
      <c r="B806">
        <v>2018</v>
      </c>
      <c r="C806" s="1">
        <v>44019</v>
      </c>
      <c r="D806" t="s">
        <v>8</v>
      </c>
      <c r="E806">
        <v>1317201</v>
      </c>
      <c r="F806">
        <v>22899863</v>
      </c>
      <c r="G806">
        <v>5.75</v>
      </c>
    </row>
    <row r="807" spans="1:7" x14ac:dyDescent="0.45">
      <c r="A807" t="s">
        <v>21</v>
      </c>
      <c r="B807">
        <v>2018</v>
      </c>
      <c r="C807" s="1">
        <v>44019</v>
      </c>
      <c r="D807" t="s">
        <v>8</v>
      </c>
      <c r="E807">
        <v>396904</v>
      </c>
      <c r="F807">
        <v>7056421</v>
      </c>
      <c r="G807">
        <v>5.62</v>
      </c>
    </row>
    <row r="808" spans="1:7" x14ac:dyDescent="0.45">
      <c r="A808" t="s">
        <v>22</v>
      </c>
      <c r="B808">
        <v>2018</v>
      </c>
      <c r="C808" s="1">
        <v>44019</v>
      </c>
      <c r="D808" t="s">
        <v>8</v>
      </c>
      <c r="E808">
        <v>505476</v>
      </c>
      <c r="F808">
        <v>4829270</v>
      </c>
      <c r="G808">
        <v>10.47</v>
      </c>
    </row>
    <row r="809" spans="1:7" x14ac:dyDescent="0.45">
      <c r="A809" t="s">
        <v>7</v>
      </c>
      <c r="B809">
        <v>2018</v>
      </c>
      <c r="C809" s="1">
        <v>44019</v>
      </c>
      <c r="D809" t="s">
        <v>23</v>
      </c>
      <c r="E809">
        <v>28536</v>
      </c>
      <c r="F809">
        <v>590760</v>
      </c>
      <c r="G809">
        <v>4.83</v>
      </c>
    </row>
    <row r="810" spans="1:7" x14ac:dyDescent="0.45">
      <c r="A810" t="s">
        <v>9</v>
      </c>
      <c r="B810">
        <v>2018</v>
      </c>
      <c r="C810" s="1">
        <v>44019</v>
      </c>
      <c r="D810" t="s">
        <v>23</v>
      </c>
      <c r="E810">
        <v>52807</v>
      </c>
      <c r="F810">
        <v>2465297</v>
      </c>
      <c r="G810">
        <v>2.14</v>
      </c>
    </row>
    <row r="811" spans="1:7" x14ac:dyDescent="0.45">
      <c r="A811" t="s">
        <v>10</v>
      </c>
      <c r="B811">
        <v>2018</v>
      </c>
      <c r="C811" s="1">
        <v>44019</v>
      </c>
      <c r="D811" t="s">
        <v>23</v>
      </c>
      <c r="E811">
        <v>187976</v>
      </c>
      <c r="F811">
        <v>4715895</v>
      </c>
      <c r="G811">
        <v>3.99</v>
      </c>
    </row>
    <row r="812" spans="1:7" x14ac:dyDescent="0.45">
      <c r="A812" t="s">
        <v>11</v>
      </c>
      <c r="B812">
        <v>2018</v>
      </c>
      <c r="C812" s="1">
        <v>44019</v>
      </c>
      <c r="D812" t="s">
        <v>23</v>
      </c>
      <c r="E812">
        <v>147097</v>
      </c>
      <c r="F812">
        <v>3019150</v>
      </c>
      <c r="G812">
        <v>4.87</v>
      </c>
    </row>
    <row r="813" spans="1:7" x14ac:dyDescent="0.45">
      <c r="A813" t="s">
        <v>12</v>
      </c>
      <c r="B813">
        <v>2018</v>
      </c>
      <c r="C813" s="1">
        <v>44019</v>
      </c>
      <c r="D813" t="s">
        <v>23</v>
      </c>
      <c r="E813">
        <v>657749</v>
      </c>
      <c r="F813">
        <v>17980787</v>
      </c>
      <c r="G813">
        <v>3.66</v>
      </c>
    </row>
    <row r="814" spans="1:7" x14ac:dyDescent="0.45">
      <c r="A814" t="s">
        <v>13</v>
      </c>
      <c r="B814">
        <v>2018</v>
      </c>
      <c r="C814" s="1">
        <v>44019</v>
      </c>
      <c r="D814" t="s">
        <v>23</v>
      </c>
      <c r="E814">
        <v>359585</v>
      </c>
      <c r="F814">
        <v>10533371</v>
      </c>
      <c r="G814">
        <v>3.41</v>
      </c>
    </row>
    <row r="815" spans="1:7" x14ac:dyDescent="0.45">
      <c r="A815" t="s">
        <v>15</v>
      </c>
      <c r="B815">
        <v>2018</v>
      </c>
      <c r="C815" s="1">
        <v>44019</v>
      </c>
      <c r="D815" t="s">
        <v>23</v>
      </c>
      <c r="E815">
        <v>65539</v>
      </c>
      <c r="F815">
        <v>3681254</v>
      </c>
      <c r="G815">
        <v>1.78</v>
      </c>
    </row>
    <row r="816" spans="1:7" x14ac:dyDescent="0.45">
      <c r="A816" t="s">
        <v>16</v>
      </c>
      <c r="B816">
        <v>2018</v>
      </c>
      <c r="C816" s="1">
        <v>44019</v>
      </c>
      <c r="D816" t="s">
        <v>23</v>
      </c>
      <c r="E816">
        <v>96918</v>
      </c>
      <c r="F816">
        <v>3803169</v>
      </c>
      <c r="G816">
        <v>2.5499999999999998</v>
      </c>
    </row>
    <row r="817" spans="1:7" x14ac:dyDescent="0.45">
      <c r="A817" t="s">
        <v>17</v>
      </c>
      <c r="B817">
        <v>2018</v>
      </c>
      <c r="C817" s="1">
        <v>44019</v>
      </c>
      <c r="D817" t="s">
        <v>23</v>
      </c>
      <c r="E817">
        <v>240917</v>
      </c>
      <c r="F817">
        <v>5844357</v>
      </c>
      <c r="G817">
        <v>4.12</v>
      </c>
    </row>
    <row r="818" spans="1:7" x14ac:dyDescent="0.45">
      <c r="A818" t="s">
        <v>18</v>
      </c>
      <c r="B818">
        <v>2018</v>
      </c>
      <c r="C818" s="1">
        <v>44019</v>
      </c>
      <c r="D818" t="s">
        <v>23</v>
      </c>
      <c r="E818">
        <v>127233</v>
      </c>
      <c r="F818">
        <v>5056750</v>
      </c>
      <c r="G818">
        <v>2.52</v>
      </c>
    </row>
    <row r="819" spans="1:7" x14ac:dyDescent="0.45">
      <c r="A819" t="s">
        <v>19</v>
      </c>
      <c r="B819">
        <v>2018</v>
      </c>
      <c r="C819" s="1">
        <v>44019</v>
      </c>
      <c r="D819" t="s">
        <v>23</v>
      </c>
      <c r="E819">
        <v>15568</v>
      </c>
      <c r="F819">
        <v>615077</v>
      </c>
      <c r="G819">
        <v>2.5299999999999998</v>
      </c>
    </row>
    <row r="820" spans="1:7" x14ac:dyDescent="0.45">
      <c r="A820" t="s">
        <v>24</v>
      </c>
      <c r="B820">
        <v>2018</v>
      </c>
      <c r="C820" s="1">
        <v>44019</v>
      </c>
      <c r="D820" t="s">
        <v>23</v>
      </c>
      <c r="E820">
        <v>189248</v>
      </c>
      <c r="F820">
        <v>3509161</v>
      </c>
      <c r="G820">
        <v>5.39</v>
      </c>
    </row>
    <row r="821" spans="1:7" x14ac:dyDescent="0.45">
      <c r="A821" t="s">
        <v>20</v>
      </c>
      <c r="B821">
        <v>2018</v>
      </c>
      <c r="C821" s="1">
        <v>44019</v>
      </c>
      <c r="D821" t="s">
        <v>23</v>
      </c>
      <c r="E821">
        <v>645022</v>
      </c>
      <c r="F821">
        <v>22899863</v>
      </c>
      <c r="G821">
        <v>2.82</v>
      </c>
    </row>
    <row r="822" spans="1:7" x14ac:dyDescent="0.45">
      <c r="A822" t="s">
        <v>21</v>
      </c>
      <c r="B822">
        <v>2018</v>
      </c>
      <c r="C822" s="1">
        <v>44019</v>
      </c>
      <c r="D822" t="s">
        <v>23</v>
      </c>
      <c r="E822">
        <v>278113</v>
      </c>
      <c r="F822">
        <v>7056421</v>
      </c>
      <c r="G822">
        <v>3.94</v>
      </c>
    </row>
    <row r="823" spans="1:7" x14ac:dyDescent="0.45">
      <c r="A823" t="s">
        <v>22</v>
      </c>
      <c r="B823">
        <v>2018</v>
      </c>
      <c r="C823" s="1">
        <v>44019</v>
      </c>
      <c r="D823" t="s">
        <v>23</v>
      </c>
      <c r="E823">
        <v>159988</v>
      </c>
      <c r="F823">
        <v>4829270</v>
      </c>
      <c r="G823">
        <v>3.31</v>
      </c>
    </row>
    <row r="824" spans="1:7" x14ac:dyDescent="0.45">
      <c r="A824" t="s">
        <v>7</v>
      </c>
      <c r="B824">
        <v>2018</v>
      </c>
      <c r="C824" s="1">
        <v>44019</v>
      </c>
      <c r="D824" t="s">
        <v>25</v>
      </c>
      <c r="E824">
        <v>70397</v>
      </c>
      <c r="F824">
        <v>590760</v>
      </c>
      <c r="G824">
        <v>11.92</v>
      </c>
    </row>
    <row r="825" spans="1:7" x14ac:dyDescent="0.45">
      <c r="A825" t="s">
        <v>9</v>
      </c>
      <c r="B825">
        <v>2018</v>
      </c>
      <c r="C825" s="1">
        <v>44019</v>
      </c>
      <c r="D825" t="s">
        <v>25</v>
      </c>
      <c r="E825">
        <v>202915</v>
      </c>
      <c r="F825">
        <v>2465297</v>
      </c>
      <c r="G825">
        <v>8.23</v>
      </c>
    </row>
    <row r="826" spans="1:7" x14ac:dyDescent="0.45">
      <c r="A826" t="s">
        <v>10</v>
      </c>
      <c r="B826">
        <v>2018</v>
      </c>
      <c r="C826" s="1">
        <v>44019</v>
      </c>
      <c r="D826" t="s">
        <v>25</v>
      </c>
      <c r="E826">
        <v>508523</v>
      </c>
      <c r="F826">
        <v>4715895</v>
      </c>
      <c r="G826">
        <v>10.78</v>
      </c>
    </row>
    <row r="827" spans="1:7" x14ac:dyDescent="0.45">
      <c r="A827" t="s">
        <v>11</v>
      </c>
      <c r="B827">
        <v>2018</v>
      </c>
      <c r="C827" s="1">
        <v>44019</v>
      </c>
      <c r="D827" t="s">
        <v>25</v>
      </c>
      <c r="E827">
        <v>231096</v>
      </c>
      <c r="F827">
        <v>3019150</v>
      </c>
      <c r="G827">
        <v>7.65</v>
      </c>
    </row>
    <row r="828" spans="1:7" x14ac:dyDescent="0.45">
      <c r="A828" t="s">
        <v>12</v>
      </c>
      <c r="B828">
        <v>2018</v>
      </c>
      <c r="C828" s="1">
        <v>44019</v>
      </c>
      <c r="D828" t="s">
        <v>25</v>
      </c>
      <c r="E828">
        <v>1513410</v>
      </c>
      <c r="F828">
        <v>17980787</v>
      </c>
      <c r="G828">
        <v>8.42</v>
      </c>
    </row>
    <row r="829" spans="1:7" x14ac:dyDescent="0.45">
      <c r="A829" t="s">
        <v>13</v>
      </c>
      <c r="B829">
        <v>2018</v>
      </c>
      <c r="C829" s="1">
        <v>44019</v>
      </c>
      <c r="D829" t="s">
        <v>25</v>
      </c>
      <c r="E829">
        <v>1030855</v>
      </c>
      <c r="F829">
        <v>10533371</v>
      </c>
      <c r="G829">
        <v>9.7899999999999991</v>
      </c>
    </row>
    <row r="830" spans="1:7" x14ac:dyDescent="0.45">
      <c r="A830" t="s">
        <v>14</v>
      </c>
      <c r="B830">
        <v>2018</v>
      </c>
      <c r="C830" s="1">
        <v>44019</v>
      </c>
      <c r="D830" t="s">
        <v>25</v>
      </c>
      <c r="E830">
        <v>245223</v>
      </c>
      <c r="F830">
        <v>2364319</v>
      </c>
      <c r="G830">
        <v>10.37</v>
      </c>
    </row>
    <row r="831" spans="1:7" x14ac:dyDescent="0.45">
      <c r="A831" t="s">
        <v>15</v>
      </c>
      <c r="B831">
        <v>2018</v>
      </c>
      <c r="C831" s="1">
        <v>44019</v>
      </c>
      <c r="D831" t="s">
        <v>25</v>
      </c>
      <c r="E831">
        <v>322188</v>
      </c>
      <c r="F831">
        <v>3681254</v>
      </c>
      <c r="G831">
        <v>8.75</v>
      </c>
    </row>
    <row r="832" spans="1:7" x14ac:dyDescent="0.45">
      <c r="A832" t="s">
        <v>17</v>
      </c>
      <c r="B832">
        <v>2018</v>
      </c>
      <c r="C832" s="1">
        <v>44019</v>
      </c>
      <c r="D832" t="s">
        <v>25</v>
      </c>
      <c r="E832">
        <v>510276</v>
      </c>
      <c r="F832">
        <v>5844357</v>
      </c>
      <c r="G832">
        <v>8.73</v>
      </c>
    </row>
    <row r="833" spans="1:7" x14ac:dyDescent="0.45">
      <c r="A833" t="s">
        <v>18</v>
      </c>
      <c r="B833">
        <v>2018</v>
      </c>
      <c r="C833" s="1">
        <v>44019</v>
      </c>
      <c r="D833" t="s">
        <v>25</v>
      </c>
      <c r="E833">
        <v>529865</v>
      </c>
      <c r="F833">
        <v>5056750</v>
      </c>
      <c r="G833">
        <v>10.48</v>
      </c>
    </row>
    <row r="834" spans="1:7" x14ac:dyDescent="0.45">
      <c r="A834" t="s">
        <v>19</v>
      </c>
      <c r="B834">
        <v>2018</v>
      </c>
      <c r="C834" s="1">
        <v>44019</v>
      </c>
      <c r="D834" t="s">
        <v>25</v>
      </c>
      <c r="E834">
        <v>86265</v>
      </c>
      <c r="F834">
        <v>615077</v>
      </c>
      <c r="G834">
        <v>14.03</v>
      </c>
    </row>
    <row r="835" spans="1:7" x14ac:dyDescent="0.45">
      <c r="A835" t="s">
        <v>24</v>
      </c>
      <c r="B835">
        <v>2018</v>
      </c>
      <c r="C835" s="1">
        <v>44019</v>
      </c>
      <c r="D835" t="s">
        <v>25</v>
      </c>
      <c r="E835">
        <v>475655</v>
      </c>
      <c r="F835">
        <v>3509161</v>
      </c>
      <c r="G835">
        <v>13.55</v>
      </c>
    </row>
    <row r="836" spans="1:7" x14ac:dyDescent="0.45">
      <c r="A836" t="s">
        <v>20</v>
      </c>
      <c r="B836">
        <v>2018</v>
      </c>
      <c r="C836" s="1">
        <v>44019</v>
      </c>
      <c r="D836" t="s">
        <v>25</v>
      </c>
      <c r="E836">
        <v>2574407</v>
      </c>
      <c r="F836">
        <v>22899863</v>
      </c>
      <c r="G836">
        <v>11.24</v>
      </c>
    </row>
    <row r="837" spans="1:7" x14ac:dyDescent="0.45">
      <c r="A837" t="s">
        <v>21</v>
      </c>
      <c r="B837">
        <v>2018</v>
      </c>
      <c r="C837" s="1">
        <v>44019</v>
      </c>
      <c r="D837" t="s">
        <v>25</v>
      </c>
      <c r="E837">
        <v>596582</v>
      </c>
      <c r="F837">
        <v>7056421</v>
      </c>
      <c r="G837">
        <v>8.4499999999999993</v>
      </c>
    </row>
    <row r="838" spans="1:7" x14ac:dyDescent="0.45">
      <c r="A838" t="s">
        <v>7</v>
      </c>
      <c r="B838">
        <v>2018</v>
      </c>
      <c r="C838" s="1">
        <v>44051</v>
      </c>
      <c r="D838" t="s">
        <v>8</v>
      </c>
      <c r="E838">
        <v>73554</v>
      </c>
      <c r="F838">
        <v>590760</v>
      </c>
      <c r="G838">
        <v>12.45</v>
      </c>
    </row>
    <row r="839" spans="1:7" x14ac:dyDescent="0.45">
      <c r="A839" t="s">
        <v>9</v>
      </c>
      <c r="B839">
        <v>2018</v>
      </c>
      <c r="C839" s="1">
        <v>44051</v>
      </c>
      <c r="D839" t="s">
        <v>8</v>
      </c>
      <c r="E839">
        <v>103846</v>
      </c>
      <c r="F839">
        <v>2465297</v>
      </c>
      <c r="G839">
        <v>4.21</v>
      </c>
    </row>
    <row r="840" spans="1:7" x14ac:dyDescent="0.45">
      <c r="A840" t="s">
        <v>10</v>
      </c>
      <c r="B840">
        <v>2018</v>
      </c>
      <c r="C840" s="1">
        <v>44051</v>
      </c>
      <c r="D840" t="s">
        <v>8</v>
      </c>
      <c r="E840">
        <v>520124</v>
      </c>
      <c r="F840">
        <v>4715895</v>
      </c>
      <c r="G840">
        <v>11.03</v>
      </c>
    </row>
    <row r="841" spans="1:7" x14ac:dyDescent="0.45">
      <c r="A841" t="s">
        <v>11</v>
      </c>
      <c r="B841">
        <v>2018</v>
      </c>
      <c r="C841" s="1">
        <v>44051</v>
      </c>
      <c r="D841" t="s">
        <v>8</v>
      </c>
      <c r="E841">
        <v>226343</v>
      </c>
      <c r="F841">
        <v>3019150</v>
      </c>
      <c r="G841">
        <v>7.5</v>
      </c>
    </row>
    <row r="842" spans="1:7" x14ac:dyDescent="0.45">
      <c r="A842" t="s">
        <v>12</v>
      </c>
      <c r="B842">
        <v>2018</v>
      </c>
      <c r="C842" s="1">
        <v>44051</v>
      </c>
      <c r="D842" t="s">
        <v>8</v>
      </c>
      <c r="E842">
        <v>1396521</v>
      </c>
      <c r="F842">
        <v>17980787</v>
      </c>
      <c r="G842">
        <v>7.77</v>
      </c>
    </row>
    <row r="843" spans="1:7" x14ac:dyDescent="0.45">
      <c r="A843" t="s">
        <v>13</v>
      </c>
      <c r="B843">
        <v>2018</v>
      </c>
      <c r="C843" s="1">
        <v>44051</v>
      </c>
      <c r="D843" t="s">
        <v>8</v>
      </c>
      <c r="E843">
        <v>761748</v>
      </c>
      <c r="F843">
        <v>10533371</v>
      </c>
      <c r="G843">
        <v>7.23</v>
      </c>
    </row>
    <row r="844" spans="1:7" x14ac:dyDescent="0.45">
      <c r="A844" t="s">
        <v>14</v>
      </c>
      <c r="B844">
        <v>2018</v>
      </c>
      <c r="C844" s="1">
        <v>44051</v>
      </c>
      <c r="D844" t="s">
        <v>8</v>
      </c>
      <c r="E844">
        <v>136382</v>
      </c>
      <c r="F844">
        <v>2364319</v>
      </c>
      <c r="G844">
        <v>5.77</v>
      </c>
    </row>
    <row r="845" spans="1:7" x14ac:dyDescent="0.45">
      <c r="A845" t="s">
        <v>15</v>
      </c>
      <c r="B845">
        <v>2018</v>
      </c>
      <c r="C845" s="1">
        <v>44051</v>
      </c>
      <c r="D845" t="s">
        <v>8</v>
      </c>
      <c r="E845">
        <v>216625</v>
      </c>
      <c r="F845">
        <v>3681254</v>
      </c>
      <c r="G845">
        <v>5.88</v>
      </c>
    </row>
    <row r="846" spans="1:7" x14ac:dyDescent="0.45">
      <c r="A846" t="s">
        <v>16</v>
      </c>
      <c r="B846">
        <v>2018</v>
      </c>
      <c r="C846" s="1">
        <v>44051</v>
      </c>
      <c r="D846" t="s">
        <v>8</v>
      </c>
      <c r="E846">
        <v>317019</v>
      </c>
      <c r="F846">
        <v>3803169</v>
      </c>
      <c r="G846">
        <v>8.34</v>
      </c>
    </row>
    <row r="847" spans="1:7" x14ac:dyDescent="0.45">
      <c r="A847" t="s">
        <v>17</v>
      </c>
      <c r="B847">
        <v>2018</v>
      </c>
      <c r="C847" s="1">
        <v>44051</v>
      </c>
      <c r="D847" t="s">
        <v>8</v>
      </c>
      <c r="E847">
        <v>449660</v>
      </c>
      <c r="F847">
        <v>5844357</v>
      </c>
      <c r="G847">
        <v>7.69</v>
      </c>
    </row>
    <row r="848" spans="1:7" x14ac:dyDescent="0.45">
      <c r="A848" t="s">
        <v>18</v>
      </c>
      <c r="B848">
        <v>2018</v>
      </c>
      <c r="C848" s="1">
        <v>44051</v>
      </c>
      <c r="D848" t="s">
        <v>8</v>
      </c>
      <c r="E848">
        <v>477761</v>
      </c>
      <c r="F848">
        <v>5056750</v>
      </c>
      <c r="G848">
        <v>9.4499999999999993</v>
      </c>
    </row>
    <row r="849" spans="1:7" x14ac:dyDescent="0.45">
      <c r="A849" t="s">
        <v>19</v>
      </c>
      <c r="B849">
        <v>2018</v>
      </c>
      <c r="C849" s="1">
        <v>44051</v>
      </c>
      <c r="D849" t="s">
        <v>8</v>
      </c>
      <c r="E849">
        <v>70299</v>
      </c>
      <c r="F849">
        <v>615077</v>
      </c>
      <c r="G849">
        <v>11.43</v>
      </c>
    </row>
    <row r="850" spans="1:7" x14ac:dyDescent="0.45">
      <c r="A850" t="s">
        <v>20</v>
      </c>
      <c r="B850">
        <v>2018</v>
      </c>
      <c r="C850" s="1">
        <v>44051</v>
      </c>
      <c r="D850" t="s">
        <v>8</v>
      </c>
      <c r="E850">
        <v>1399548</v>
      </c>
      <c r="F850">
        <v>22899863</v>
      </c>
      <c r="G850">
        <v>6.11</v>
      </c>
    </row>
    <row r="851" spans="1:7" x14ac:dyDescent="0.45">
      <c r="A851" t="s">
        <v>21</v>
      </c>
      <c r="B851">
        <v>2018</v>
      </c>
      <c r="C851" s="1">
        <v>44051</v>
      </c>
      <c r="D851" t="s">
        <v>8</v>
      </c>
      <c r="E851">
        <v>413930</v>
      </c>
      <c r="F851">
        <v>7056421</v>
      </c>
      <c r="G851">
        <v>5.87</v>
      </c>
    </row>
    <row r="852" spans="1:7" x14ac:dyDescent="0.45">
      <c r="A852" t="s">
        <v>22</v>
      </c>
      <c r="B852">
        <v>2018</v>
      </c>
      <c r="C852" s="1">
        <v>44051</v>
      </c>
      <c r="D852" t="s">
        <v>8</v>
      </c>
      <c r="E852">
        <v>565035</v>
      </c>
      <c r="F852">
        <v>4829270</v>
      </c>
      <c r="G852">
        <v>11.7</v>
      </c>
    </row>
    <row r="853" spans="1:7" x14ac:dyDescent="0.45">
      <c r="A853" t="s">
        <v>7</v>
      </c>
      <c r="B853">
        <v>2018</v>
      </c>
      <c r="C853" s="1">
        <v>44051</v>
      </c>
      <c r="D853" t="s">
        <v>23</v>
      </c>
      <c r="E853">
        <v>33011</v>
      </c>
      <c r="F853">
        <v>590760</v>
      </c>
      <c r="G853">
        <v>5.59</v>
      </c>
    </row>
    <row r="854" spans="1:7" x14ac:dyDescent="0.45">
      <c r="A854" t="s">
        <v>9</v>
      </c>
      <c r="B854">
        <v>2018</v>
      </c>
      <c r="C854" s="1">
        <v>44051</v>
      </c>
      <c r="D854" t="s">
        <v>23</v>
      </c>
      <c r="E854">
        <v>38313</v>
      </c>
      <c r="F854">
        <v>2465297</v>
      </c>
      <c r="G854">
        <v>1.55</v>
      </c>
    </row>
    <row r="855" spans="1:7" x14ac:dyDescent="0.45">
      <c r="A855" t="s">
        <v>10</v>
      </c>
      <c r="B855">
        <v>2018</v>
      </c>
      <c r="C855" s="1">
        <v>44051</v>
      </c>
      <c r="D855" t="s">
        <v>23</v>
      </c>
      <c r="E855">
        <v>234915</v>
      </c>
      <c r="F855">
        <v>4715895</v>
      </c>
      <c r="G855">
        <v>4.9800000000000004</v>
      </c>
    </row>
    <row r="856" spans="1:7" x14ac:dyDescent="0.45">
      <c r="A856" t="s">
        <v>11</v>
      </c>
      <c r="B856">
        <v>2018</v>
      </c>
      <c r="C856" s="1">
        <v>44051</v>
      </c>
      <c r="D856" t="s">
        <v>23</v>
      </c>
      <c r="E856">
        <v>136854</v>
      </c>
      <c r="F856">
        <v>3019150</v>
      </c>
      <c r="G856">
        <v>4.53</v>
      </c>
    </row>
    <row r="857" spans="1:7" x14ac:dyDescent="0.45">
      <c r="A857" t="s">
        <v>12</v>
      </c>
      <c r="B857">
        <v>2018</v>
      </c>
      <c r="C857" s="1">
        <v>44051</v>
      </c>
      <c r="D857" t="s">
        <v>23</v>
      </c>
      <c r="E857">
        <v>747160</v>
      </c>
      <c r="F857">
        <v>17980787</v>
      </c>
      <c r="G857">
        <v>4.16</v>
      </c>
    </row>
    <row r="858" spans="1:7" x14ac:dyDescent="0.45">
      <c r="A858" t="s">
        <v>13</v>
      </c>
      <c r="B858">
        <v>2018</v>
      </c>
      <c r="C858" s="1">
        <v>44051</v>
      </c>
      <c r="D858" t="s">
        <v>23</v>
      </c>
      <c r="E858">
        <v>420716</v>
      </c>
      <c r="F858">
        <v>10533371</v>
      </c>
      <c r="G858">
        <v>3.99</v>
      </c>
    </row>
    <row r="859" spans="1:7" x14ac:dyDescent="0.45">
      <c r="A859" t="s">
        <v>15</v>
      </c>
      <c r="B859">
        <v>2018</v>
      </c>
      <c r="C859" s="1">
        <v>44051</v>
      </c>
      <c r="D859" t="s">
        <v>23</v>
      </c>
      <c r="E859">
        <v>57382</v>
      </c>
      <c r="F859">
        <v>3681254</v>
      </c>
      <c r="G859">
        <v>1.56</v>
      </c>
    </row>
    <row r="860" spans="1:7" x14ac:dyDescent="0.45">
      <c r="A860" t="s">
        <v>16</v>
      </c>
      <c r="B860">
        <v>2018</v>
      </c>
      <c r="C860" s="1">
        <v>44051</v>
      </c>
      <c r="D860" t="s">
        <v>23</v>
      </c>
      <c r="E860">
        <v>110062</v>
      </c>
      <c r="F860">
        <v>3803169</v>
      </c>
      <c r="G860">
        <v>2.89</v>
      </c>
    </row>
    <row r="861" spans="1:7" x14ac:dyDescent="0.45">
      <c r="A861" t="s">
        <v>17</v>
      </c>
      <c r="B861">
        <v>2018</v>
      </c>
      <c r="C861" s="1">
        <v>44051</v>
      </c>
      <c r="D861" t="s">
        <v>23</v>
      </c>
      <c r="E861">
        <v>307647</v>
      </c>
      <c r="F861">
        <v>5844357</v>
      </c>
      <c r="G861">
        <v>5.26</v>
      </c>
    </row>
    <row r="862" spans="1:7" x14ac:dyDescent="0.45">
      <c r="A862" t="s">
        <v>18</v>
      </c>
      <c r="B862">
        <v>2018</v>
      </c>
      <c r="C862" s="1">
        <v>44051</v>
      </c>
      <c r="D862" t="s">
        <v>23</v>
      </c>
      <c r="E862">
        <v>181100</v>
      </c>
      <c r="F862">
        <v>5056750</v>
      </c>
      <c r="G862">
        <v>3.58</v>
      </c>
    </row>
    <row r="863" spans="1:7" x14ac:dyDescent="0.45">
      <c r="A863" t="s">
        <v>19</v>
      </c>
      <c r="B863">
        <v>2018</v>
      </c>
      <c r="C863" s="1">
        <v>44051</v>
      </c>
      <c r="D863" t="s">
        <v>23</v>
      </c>
      <c r="E863">
        <v>15005</v>
      </c>
      <c r="F863">
        <v>615077</v>
      </c>
      <c r="G863">
        <v>2.44</v>
      </c>
    </row>
    <row r="864" spans="1:7" x14ac:dyDescent="0.45">
      <c r="A864" t="s">
        <v>24</v>
      </c>
      <c r="B864">
        <v>2018</v>
      </c>
      <c r="C864" s="1">
        <v>44051</v>
      </c>
      <c r="D864" t="s">
        <v>23</v>
      </c>
      <c r="E864">
        <v>165248</v>
      </c>
      <c r="F864">
        <v>3509161</v>
      </c>
      <c r="G864">
        <v>4.71</v>
      </c>
    </row>
    <row r="865" spans="1:7" x14ac:dyDescent="0.45">
      <c r="A865" t="s">
        <v>20</v>
      </c>
      <c r="B865">
        <v>2018</v>
      </c>
      <c r="C865" s="1">
        <v>44051</v>
      </c>
      <c r="D865" t="s">
        <v>23</v>
      </c>
      <c r="E865">
        <v>623198</v>
      </c>
      <c r="F865">
        <v>22899863</v>
      </c>
      <c r="G865">
        <v>2.72</v>
      </c>
    </row>
    <row r="866" spans="1:7" x14ac:dyDescent="0.45">
      <c r="A866" t="s">
        <v>21</v>
      </c>
      <c r="B866">
        <v>2018</v>
      </c>
      <c r="C866" s="1">
        <v>44051</v>
      </c>
      <c r="D866" t="s">
        <v>23</v>
      </c>
      <c r="E866">
        <v>307335</v>
      </c>
      <c r="F866">
        <v>7056421</v>
      </c>
      <c r="G866">
        <v>4.3600000000000003</v>
      </c>
    </row>
    <row r="867" spans="1:7" x14ac:dyDescent="0.45">
      <c r="A867" t="s">
        <v>22</v>
      </c>
      <c r="B867">
        <v>2018</v>
      </c>
      <c r="C867" s="1">
        <v>44051</v>
      </c>
      <c r="D867" t="s">
        <v>23</v>
      </c>
      <c r="E867">
        <v>152020</v>
      </c>
      <c r="F867">
        <v>4829270</v>
      </c>
      <c r="G867">
        <v>3.15</v>
      </c>
    </row>
    <row r="868" spans="1:7" x14ac:dyDescent="0.45">
      <c r="A868" t="s">
        <v>7</v>
      </c>
      <c r="B868">
        <v>2018</v>
      </c>
      <c r="C868" s="1">
        <v>44051</v>
      </c>
      <c r="D868" t="s">
        <v>25</v>
      </c>
      <c r="E868">
        <v>71110</v>
      </c>
      <c r="F868">
        <v>590760</v>
      </c>
      <c r="G868">
        <v>12.04</v>
      </c>
    </row>
    <row r="869" spans="1:7" x14ac:dyDescent="0.45">
      <c r="A869" t="s">
        <v>9</v>
      </c>
      <c r="B869">
        <v>2018</v>
      </c>
      <c r="C869" s="1">
        <v>44051</v>
      </c>
      <c r="D869" t="s">
        <v>25</v>
      </c>
      <c r="E869">
        <v>224585</v>
      </c>
      <c r="F869">
        <v>2465297</v>
      </c>
      <c r="G869">
        <v>9.11</v>
      </c>
    </row>
    <row r="870" spans="1:7" x14ac:dyDescent="0.45">
      <c r="A870" t="s">
        <v>10</v>
      </c>
      <c r="B870">
        <v>2018</v>
      </c>
      <c r="C870" s="1">
        <v>44051</v>
      </c>
      <c r="D870" t="s">
        <v>25</v>
      </c>
      <c r="E870">
        <v>558900</v>
      </c>
      <c r="F870">
        <v>4715895</v>
      </c>
      <c r="G870">
        <v>11.85</v>
      </c>
    </row>
    <row r="871" spans="1:7" x14ac:dyDescent="0.45">
      <c r="A871" t="s">
        <v>11</v>
      </c>
      <c r="B871">
        <v>2018</v>
      </c>
      <c r="C871" s="1">
        <v>44051</v>
      </c>
      <c r="D871" t="s">
        <v>25</v>
      </c>
      <c r="E871">
        <v>251881</v>
      </c>
      <c r="F871">
        <v>3019150</v>
      </c>
      <c r="G871">
        <v>8.34</v>
      </c>
    </row>
    <row r="872" spans="1:7" x14ac:dyDescent="0.45">
      <c r="A872" t="s">
        <v>12</v>
      </c>
      <c r="B872">
        <v>2018</v>
      </c>
      <c r="C872" s="1">
        <v>44051</v>
      </c>
      <c r="D872" t="s">
        <v>25</v>
      </c>
      <c r="E872">
        <v>1714860</v>
      </c>
      <c r="F872">
        <v>17980787</v>
      </c>
      <c r="G872">
        <v>9.5399999999999991</v>
      </c>
    </row>
    <row r="873" spans="1:7" x14ac:dyDescent="0.45">
      <c r="A873" t="s">
        <v>13</v>
      </c>
      <c r="B873">
        <v>2018</v>
      </c>
      <c r="C873" s="1">
        <v>44051</v>
      </c>
      <c r="D873" t="s">
        <v>25</v>
      </c>
      <c r="E873">
        <v>1211993</v>
      </c>
      <c r="F873">
        <v>10533371</v>
      </c>
      <c r="G873">
        <v>11.51</v>
      </c>
    </row>
    <row r="874" spans="1:7" x14ac:dyDescent="0.45">
      <c r="A874" t="s">
        <v>14</v>
      </c>
      <c r="B874">
        <v>2018</v>
      </c>
      <c r="C874" s="1">
        <v>44051</v>
      </c>
      <c r="D874" t="s">
        <v>25</v>
      </c>
      <c r="E874">
        <v>229238</v>
      </c>
      <c r="F874">
        <v>2364319</v>
      </c>
      <c r="G874">
        <v>9.6999999999999993</v>
      </c>
    </row>
    <row r="875" spans="1:7" x14ac:dyDescent="0.45">
      <c r="A875" t="s">
        <v>15</v>
      </c>
      <c r="B875">
        <v>2018</v>
      </c>
      <c r="C875" s="1">
        <v>44051</v>
      </c>
      <c r="D875" t="s">
        <v>25</v>
      </c>
      <c r="E875">
        <v>309184</v>
      </c>
      <c r="F875">
        <v>3681254</v>
      </c>
      <c r="G875">
        <v>8.4</v>
      </c>
    </row>
    <row r="876" spans="1:7" x14ac:dyDescent="0.45">
      <c r="A876" t="s">
        <v>17</v>
      </c>
      <c r="B876">
        <v>2018</v>
      </c>
      <c r="C876" s="1">
        <v>44051</v>
      </c>
      <c r="D876" t="s">
        <v>25</v>
      </c>
      <c r="E876">
        <v>564273</v>
      </c>
      <c r="F876">
        <v>5844357</v>
      </c>
      <c r="G876">
        <v>9.66</v>
      </c>
    </row>
    <row r="877" spans="1:7" x14ac:dyDescent="0.45">
      <c r="A877" t="s">
        <v>18</v>
      </c>
      <c r="B877">
        <v>2018</v>
      </c>
      <c r="C877" s="1">
        <v>44051</v>
      </c>
      <c r="D877" t="s">
        <v>25</v>
      </c>
      <c r="E877">
        <v>535268</v>
      </c>
      <c r="F877">
        <v>5056750</v>
      </c>
      <c r="G877">
        <v>10.59</v>
      </c>
    </row>
    <row r="878" spans="1:7" x14ac:dyDescent="0.45">
      <c r="A878" t="s">
        <v>19</v>
      </c>
      <c r="B878">
        <v>2018</v>
      </c>
      <c r="C878" s="1">
        <v>44051</v>
      </c>
      <c r="D878" t="s">
        <v>25</v>
      </c>
      <c r="E878">
        <v>79867</v>
      </c>
      <c r="F878">
        <v>615077</v>
      </c>
      <c r="G878">
        <v>12.98</v>
      </c>
    </row>
    <row r="879" spans="1:7" x14ac:dyDescent="0.45">
      <c r="A879" t="s">
        <v>24</v>
      </c>
      <c r="B879">
        <v>2018</v>
      </c>
      <c r="C879" s="1">
        <v>44051</v>
      </c>
      <c r="D879" t="s">
        <v>25</v>
      </c>
      <c r="E879">
        <v>434370</v>
      </c>
      <c r="F879">
        <v>3509161</v>
      </c>
      <c r="G879">
        <v>12.38</v>
      </c>
    </row>
    <row r="880" spans="1:7" x14ac:dyDescent="0.45">
      <c r="A880" t="s">
        <v>20</v>
      </c>
      <c r="B880">
        <v>2018</v>
      </c>
      <c r="C880" s="1">
        <v>44051</v>
      </c>
      <c r="D880" t="s">
        <v>25</v>
      </c>
      <c r="E880">
        <v>2417560</v>
      </c>
      <c r="F880">
        <v>22899863</v>
      </c>
      <c r="G880">
        <v>10.56</v>
      </c>
    </row>
    <row r="881" spans="1:7" x14ac:dyDescent="0.45">
      <c r="A881" t="s">
        <v>21</v>
      </c>
      <c r="B881">
        <v>2018</v>
      </c>
      <c r="C881" s="1">
        <v>44051</v>
      </c>
      <c r="D881" t="s">
        <v>25</v>
      </c>
      <c r="E881">
        <v>660295</v>
      </c>
      <c r="F881">
        <v>7056421</v>
      </c>
      <c r="G881">
        <v>9.36</v>
      </c>
    </row>
    <row r="882" spans="1:7" x14ac:dyDescent="0.45">
      <c r="A882" t="s">
        <v>7</v>
      </c>
      <c r="B882">
        <v>2018</v>
      </c>
      <c r="C882" s="1">
        <v>44083</v>
      </c>
      <c r="D882" t="s">
        <v>8</v>
      </c>
      <c r="E882">
        <v>55841</v>
      </c>
      <c r="F882">
        <v>590760</v>
      </c>
      <c r="G882">
        <v>9.4499999999999993</v>
      </c>
    </row>
    <row r="883" spans="1:7" x14ac:dyDescent="0.45">
      <c r="A883" t="s">
        <v>9</v>
      </c>
      <c r="B883">
        <v>2018</v>
      </c>
      <c r="C883" s="1">
        <v>44083</v>
      </c>
      <c r="D883" t="s">
        <v>8</v>
      </c>
      <c r="E883">
        <v>142126</v>
      </c>
      <c r="F883">
        <v>2465297</v>
      </c>
      <c r="G883">
        <v>5.77</v>
      </c>
    </row>
    <row r="884" spans="1:7" x14ac:dyDescent="0.45">
      <c r="A884" t="s">
        <v>10</v>
      </c>
      <c r="B884">
        <v>2018</v>
      </c>
      <c r="C884" s="1">
        <v>44083</v>
      </c>
      <c r="D884" t="s">
        <v>8</v>
      </c>
      <c r="E884">
        <v>431343</v>
      </c>
      <c r="F884">
        <v>4715895</v>
      </c>
      <c r="G884">
        <v>9.15</v>
      </c>
    </row>
    <row r="885" spans="1:7" x14ac:dyDescent="0.45">
      <c r="A885" t="s">
        <v>11</v>
      </c>
      <c r="B885">
        <v>2018</v>
      </c>
      <c r="C885" s="1">
        <v>44083</v>
      </c>
      <c r="D885" t="s">
        <v>8</v>
      </c>
      <c r="E885">
        <v>220342</v>
      </c>
      <c r="F885">
        <v>3019150</v>
      </c>
      <c r="G885">
        <v>7.3</v>
      </c>
    </row>
    <row r="886" spans="1:7" x14ac:dyDescent="0.45">
      <c r="A886" t="s">
        <v>12</v>
      </c>
      <c r="B886">
        <v>2018</v>
      </c>
      <c r="C886" s="1">
        <v>44083</v>
      </c>
      <c r="D886" t="s">
        <v>8</v>
      </c>
      <c r="E886">
        <v>1227648</v>
      </c>
      <c r="F886">
        <v>17980787</v>
      </c>
      <c r="G886">
        <v>6.83</v>
      </c>
    </row>
    <row r="887" spans="1:7" x14ac:dyDescent="0.45">
      <c r="A887" t="s">
        <v>13</v>
      </c>
      <c r="B887">
        <v>2018</v>
      </c>
      <c r="C887" s="1">
        <v>44083</v>
      </c>
      <c r="D887" t="s">
        <v>8</v>
      </c>
      <c r="E887">
        <v>638557</v>
      </c>
      <c r="F887">
        <v>10533371</v>
      </c>
      <c r="G887">
        <v>6.06</v>
      </c>
    </row>
    <row r="888" spans="1:7" x14ac:dyDescent="0.45">
      <c r="A888" t="s">
        <v>14</v>
      </c>
      <c r="B888">
        <v>2018</v>
      </c>
      <c r="C888" s="1">
        <v>44083</v>
      </c>
      <c r="D888" t="s">
        <v>8</v>
      </c>
      <c r="E888">
        <v>156393</v>
      </c>
      <c r="F888">
        <v>2364319</v>
      </c>
      <c r="G888">
        <v>6.61</v>
      </c>
    </row>
    <row r="889" spans="1:7" x14ac:dyDescent="0.45">
      <c r="A889" t="s">
        <v>15</v>
      </c>
      <c r="B889">
        <v>2018</v>
      </c>
      <c r="C889" s="1">
        <v>44083</v>
      </c>
      <c r="D889" t="s">
        <v>8</v>
      </c>
      <c r="E889">
        <v>268281</v>
      </c>
      <c r="F889">
        <v>3681254</v>
      </c>
      <c r="G889">
        <v>7.29</v>
      </c>
    </row>
    <row r="890" spans="1:7" x14ac:dyDescent="0.45">
      <c r="A890" t="s">
        <v>16</v>
      </c>
      <c r="B890">
        <v>2018</v>
      </c>
      <c r="C890" s="1">
        <v>44083</v>
      </c>
      <c r="D890" t="s">
        <v>8</v>
      </c>
      <c r="E890">
        <v>262165</v>
      </c>
      <c r="F890">
        <v>3803169</v>
      </c>
      <c r="G890">
        <v>6.89</v>
      </c>
    </row>
    <row r="891" spans="1:7" x14ac:dyDescent="0.45">
      <c r="A891" t="s">
        <v>17</v>
      </c>
      <c r="B891">
        <v>2018</v>
      </c>
      <c r="C891" s="1">
        <v>44083</v>
      </c>
      <c r="D891" t="s">
        <v>8</v>
      </c>
      <c r="E891">
        <v>491021</v>
      </c>
      <c r="F891">
        <v>5844357</v>
      </c>
      <c r="G891">
        <v>8.4</v>
      </c>
    </row>
    <row r="892" spans="1:7" x14ac:dyDescent="0.45">
      <c r="A892" t="s">
        <v>18</v>
      </c>
      <c r="B892">
        <v>2018</v>
      </c>
      <c r="C892" s="1">
        <v>44083</v>
      </c>
      <c r="D892" t="s">
        <v>8</v>
      </c>
      <c r="E892">
        <v>457744</v>
      </c>
      <c r="F892">
        <v>5056750</v>
      </c>
      <c r="G892">
        <v>9.0500000000000007</v>
      </c>
    </row>
    <row r="893" spans="1:7" x14ac:dyDescent="0.45">
      <c r="A893" t="s">
        <v>19</v>
      </c>
      <c r="B893">
        <v>2018</v>
      </c>
      <c r="C893" s="1">
        <v>44083</v>
      </c>
      <c r="D893" t="s">
        <v>8</v>
      </c>
      <c r="E893">
        <v>61627</v>
      </c>
      <c r="F893">
        <v>615077</v>
      </c>
      <c r="G893">
        <v>10.02</v>
      </c>
    </row>
    <row r="894" spans="1:7" x14ac:dyDescent="0.45">
      <c r="A894" t="s">
        <v>20</v>
      </c>
      <c r="B894">
        <v>2018</v>
      </c>
      <c r="C894" s="1">
        <v>44083</v>
      </c>
      <c r="D894" t="s">
        <v>8</v>
      </c>
      <c r="E894">
        <v>1240433</v>
      </c>
      <c r="F894">
        <v>22899863</v>
      </c>
      <c r="G894">
        <v>5.42</v>
      </c>
    </row>
    <row r="895" spans="1:7" x14ac:dyDescent="0.45">
      <c r="A895" t="s">
        <v>21</v>
      </c>
      <c r="B895">
        <v>2018</v>
      </c>
      <c r="C895" s="1">
        <v>44083</v>
      </c>
      <c r="D895" t="s">
        <v>8</v>
      </c>
      <c r="E895">
        <v>450377</v>
      </c>
      <c r="F895">
        <v>7056421</v>
      </c>
      <c r="G895">
        <v>6.38</v>
      </c>
    </row>
    <row r="896" spans="1:7" x14ac:dyDescent="0.45">
      <c r="A896" t="s">
        <v>22</v>
      </c>
      <c r="B896">
        <v>2018</v>
      </c>
      <c r="C896" s="1">
        <v>44083</v>
      </c>
      <c r="D896" t="s">
        <v>8</v>
      </c>
      <c r="E896">
        <v>565569</v>
      </c>
      <c r="F896">
        <v>4829270</v>
      </c>
      <c r="G896">
        <v>11.71</v>
      </c>
    </row>
    <row r="897" spans="1:7" x14ac:dyDescent="0.45">
      <c r="A897" t="s">
        <v>7</v>
      </c>
      <c r="B897">
        <v>2018</v>
      </c>
      <c r="C897" s="1">
        <v>44083</v>
      </c>
      <c r="D897" t="s">
        <v>23</v>
      </c>
      <c r="E897">
        <v>24427</v>
      </c>
      <c r="F897">
        <v>590760</v>
      </c>
      <c r="G897">
        <v>4.13</v>
      </c>
    </row>
    <row r="898" spans="1:7" x14ac:dyDescent="0.45">
      <c r="A898" t="s">
        <v>9</v>
      </c>
      <c r="B898">
        <v>2018</v>
      </c>
      <c r="C898" s="1">
        <v>44083</v>
      </c>
      <c r="D898" t="s">
        <v>23</v>
      </c>
      <c r="E898">
        <v>44833</v>
      </c>
      <c r="F898">
        <v>2465297</v>
      </c>
      <c r="G898">
        <v>1.82</v>
      </c>
    </row>
    <row r="899" spans="1:7" x14ac:dyDescent="0.45">
      <c r="A899" t="s">
        <v>10</v>
      </c>
      <c r="B899">
        <v>2018</v>
      </c>
      <c r="C899" s="1">
        <v>44083</v>
      </c>
      <c r="D899" t="s">
        <v>23</v>
      </c>
      <c r="E899">
        <v>173930</v>
      </c>
      <c r="F899">
        <v>4715895</v>
      </c>
      <c r="G899">
        <v>3.69</v>
      </c>
    </row>
    <row r="900" spans="1:7" x14ac:dyDescent="0.45">
      <c r="A900" t="s">
        <v>11</v>
      </c>
      <c r="B900">
        <v>2018</v>
      </c>
      <c r="C900" s="1">
        <v>44083</v>
      </c>
      <c r="D900" t="s">
        <v>23</v>
      </c>
      <c r="E900">
        <v>130861</v>
      </c>
      <c r="F900">
        <v>3019150</v>
      </c>
      <c r="G900">
        <v>4.33</v>
      </c>
    </row>
    <row r="901" spans="1:7" x14ac:dyDescent="0.45">
      <c r="A901" t="s">
        <v>12</v>
      </c>
      <c r="B901">
        <v>2018</v>
      </c>
      <c r="C901" s="1">
        <v>44083</v>
      </c>
      <c r="D901" t="s">
        <v>23</v>
      </c>
      <c r="E901">
        <v>596902</v>
      </c>
      <c r="F901">
        <v>17980787</v>
      </c>
      <c r="G901">
        <v>3.32</v>
      </c>
    </row>
    <row r="902" spans="1:7" x14ac:dyDescent="0.45">
      <c r="A902" t="s">
        <v>13</v>
      </c>
      <c r="B902">
        <v>2018</v>
      </c>
      <c r="C902" s="1">
        <v>44083</v>
      </c>
      <c r="D902" t="s">
        <v>23</v>
      </c>
      <c r="E902">
        <v>328185</v>
      </c>
      <c r="F902">
        <v>10533371</v>
      </c>
      <c r="G902">
        <v>3.12</v>
      </c>
    </row>
    <row r="903" spans="1:7" x14ac:dyDescent="0.45">
      <c r="A903" t="s">
        <v>15</v>
      </c>
      <c r="B903">
        <v>2018</v>
      </c>
      <c r="C903" s="1">
        <v>44083</v>
      </c>
      <c r="D903" t="s">
        <v>23</v>
      </c>
      <c r="E903">
        <v>75624</v>
      </c>
      <c r="F903">
        <v>3681254</v>
      </c>
      <c r="G903">
        <v>2.0499999999999998</v>
      </c>
    </row>
    <row r="904" spans="1:7" x14ac:dyDescent="0.45">
      <c r="A904" t="s">
        <v>16</v>
      </c>
      <c r="B904">
        <v>2018</v>
      </c>
      <c r="C904" s="1">
        <v>44083</v>
      </c>
      <c r="D904" t="s">
        <v>23</v>
      </c>
      <c r="E904">
        <v>89939</v>
      </c>
      <c r="F904">
        <v>3803169</v>
      </c>
      <c r="G904">
        <v>2.36</v>
      </c>
    </row>
    <row r="905" spans="1:7" x14ac:dyDescent="0.45">
      <c r="A905" t="s">
        <v>17</v>
      </c>
      <c r="B905">
        <v>2018</v>
      </c>
      <c r="C905" s="1">
        <v>44083</v>
      </c>
      <c r="D905" t="s">
        <v>23</v>
      </c>
      <c r="E905">
        <v>299353</v>
      </c>
      <c r="F905">
        <v>5844357</v>
      </c>
      <c r="G905">
        <v>5.12</v>
      </c>
    </row>
    <row r="906" spans="1:7" x14ac:dyDescent="0.45">
      <c r="A906" t="s">
        <v>18</v>
      </c>
      <c r="B906">
        <v>2018</v>
      </c>
      <c r="C906" s="1">
        <v>44083</v>
      </c>
      <c r="D906" t="s">
        <v>23</v>
      </c>
      <c r="E906">
        <v>138183</v>
      </c>
      <c r="F906">
        <v>5056750</v>
      </c>
      <c r="G906">
        <v>2.73</v>
      </c>
    </row>
    <row r="907" spans="1:7" x14ac:dyDescent="0.45">
      <c r="A907" t="s">
        <v>19</v>
      </c>
      <c r="B907">
        <v>2018</v>
      </c>
      <c r="C907" s="1">
        <v>44083</v>
      </c>
      <c r="D907" t="s">
        <v>23</v>
      </c>
      <c r="E907">
        <v>13064</v>
      </c>
      <c r="F907">
        <v>615077</v>
      </c>
      <c r="G907">
        <v>2.12</v>
      </c>
    </row>
    <row r="908" spans="1:7" x14ac:dyDescent="0.45">
      <c r="A908" t="s">
        <v>24</v>
      </c>
      <c r="B908">
        <v>2018</v>
      </c>
      <c r="C908" s="1">
        <v>44083</v>
      </c>
      <c r="D908" t="s">
        <v>23</v>
      </c>
      <c r="E908">
        <v>218829</v>
      </c>
      <c r="F908">
        <v>3509161</v>
      </c>
      <c r="G908">
        <v>6.24</v>
      </c>
    </row>
    <row r="909" spans="1:7" x14ac:dyDescent="0.45">
      <c r="A909" t="s">
        <v>20</v>
      </c>
      <c r="B909">
        <v>2018</v>
      </c>
      <c r="C909" s="1">
        <v>44083</v>
      </c>
      <c r="D909" t="s">
        <v>23</v>
      </c>
      <c r="E909">
        <v>670923</v>
      </c>
      <c r="F909">
        <v>22899863</v>
      </c>
      <c r="G909">
        <v>2.93</v>
      </c>
    </row>
    <row r="910" spans="1:7" x14ac:dyDescent="0.45">
      <c r="A910" t="s">
        <v>21</v>
      </c>
      <c r="B910">
        <v>2018</v>
      </c>
      <c r="C910" s="1">
        <v>44083</v>
      </c>
      <c r="D910" t="s">
        <v>23</v>
      </c>
      <c r="E910">
        <v>251071</v>
      </c>
      <c r="F910">
        <v>7056421</v>
      </c>
      <c r="G910">
        <v>3.56</v>
      </c>
    </row>
    <row r="911" spans="1:7" x14ac:dyDescent="0.45">
      <c r="A911" t="s">
        <v>22</v>
      </c>
      <c r="B911">
        <v>2018</v>
      </c>
      <c r="C911" s="1">
        <v>44083</v>
      </c>
      <c r="D911" t="s">
        <v>23</v>
      </c>
      <c r="E911">
        <v>157134</v>
      </c>
      <c r="F911">
        <v>4829270</v>
      </c>
      <c r="G911">
        <v>3.25</v>
      </c>
    </row>
    <row r="912" spans="1:7" x14ac:dyDescent="0.45">
      <c r="A912" t="s">
        <v>7</v>
      </c>
      <c r="B912">
        <v>2018</v>
      </c>
      <c r="C912" s="1">
        <v>44083</v>
      </c>
      <c r="D912" t="s">
        <v>25</v>
      </c>
      <c r="E912">
        <v>48957</v>
      </c>
      <c r="F912">
        <v>590760</v>
      </c>
      <c r="G912">
        <v>8.2899999999999991</v>
      </c>
    </row>
    <row r="913" spans="1:7" x14ac:dyDescent="0.45">
      <c r="A913" t="s">
        <v>9</v>
      </c>
      <c r="B913">
        <v>2018</v>
      </c>
      <c r="C913" s="1">
        <v>44083</v>
      </c>
      <c r="D913" t="s">
        <v>25</v>
      </c>
      <c r="E913">
        <v>215285</v>
      </c>
      <c r="F913">
        <v>2465297</v>
      </c>
      <c r="G913">
        <v>8.73</v>
      </c>
    </row>
    <row r="914" spans="1:7" x14ac:dyDescent="0.45">
      <c r="A914" t="s">
        <v>10</v>
      </c>
      <c r="B914">
        <v>2018</v>
      </c>
      <c r="C914" s="1">
        <v>44083</v>
      </c>
      <c r="D914" t="s">
        <v>25</v>
      </c>
      <c r="E914">
        <v>445498</v>
      </c>
      <c r="F914">
        <v>4715895</v>
      </c>
      <c r="G914">
        <v>9.4499999999999993</v>
      </c>
    </row>
    <row r="915" spans="1:7" x14ac:dyDescent="0.45">
      <c r="A915" t="s">
        <v>11</v>
      </c>
      <c r="B915">
        <v>2018</v>
      </c>
      <c r="C915" s="1">
        <v>44083</v>
      </c>
      <c r="D915" t="s">
        <v>25</v>
      </c>
      <c r="E915">
        <v>191612</v>
      </c>
      <c r="F915">
        <v>3019150</v>
      </c>
      <c r="G915">
        <v>6.35</v>
      </c>
    </row>
    <row r="916" spans="1:7" x14ac:dyDescent="0.45">
      <c r="A916" t="s">
        <v>12</v>
      </c>
      <c r="B916">
        <v>2018</v>
      </c>
      <c r="C916" s="1">
        <v>44083</v>
      </c>
      <c r="D916" t="s">
        <v>25</v>
      </c>
      <c r="E916">
        <v>1356526</v>
      </c>
      <c r="F916">
        <v>17980787</v>
      </c>
      <c r="G916">
        <v>7.54</v>
      </c>
    </row>
    <row r="917" spans="1:7" x14ac:dyDescent="0.45">
      <c r="A917" t="s">
        <v>13</v>
      </c>
      <c r="B917">
        <v>2018</v>
      </c>
      <c r="C917" s="1">
        <v>44083</v>
      </c>
      <c r="D917" t="s">
        <v>25</v>
      </c>
      <c r="E917">
        <v>898731</v>
      </c>
      <c r="F917">
        <v>10533371</v>
      </c>
      <c r="G917">
        <v>8.5299999999999994</v>
      </c>
    </row>
    <row r="918" spans="1:7" x14ac:dyDescent="0.45">
      <c r="A918" t="s">
        <v>14</v>
      </c>
      <c r="B918">
        <v>2018</v>
      </c>
      <c r="C918" s="1">
        <v>44083</v>
      </c>
      <c r="D918" t="s">
        <v>25</v>
      </c>
      <c r="E918">
        <v>236687</v>
      </c>
      <c r="F918">
        <v>2364319</v>
      </c>
      <c r="G918">
        <v>10.01</v>
      </c>
    </row>
    <row r="919" spans="1:7" x14ac:dyDescent="0.45">
      <c r="A919" t="s">
        <v>15</v>
      </c>
      <c r="B919">
        <v>2018</v>
      </c>
      <c r="C919" s="1">
        <v>44083</v>
      </c>
      <c r="D919" t="s">
        <v>25</v>
      </c>
      <c r="E919">
        <v>342696</v>
      </c>
      <c r="F919">
        <v>3681254</v>
      </c>
      <c r="G919">
        <v>9.31</v>
      </c>
    </row>
    <row r="920" spans="1:7" x14ac:dyDescent="0.45">
      <c r="A920" t="s">
        <v>17</v>
      </c>
      <c r="B920">
        <v>2018</v>
      </c>
      <c r="C920" s="1">
        <v>44083</v>
      </c>
      <c r="D920" t="s">
        <v>25</v>
      </c>
      <c r="E920">
        <v>432541</v>
      </c>
      <c r="F920">
        <v>5844357</v>
      </c>
      <c r="G920">
        <v>7.4</v>
      </c>
    </row>
    <row r="921" spans="1:7" x14ac:dyDescent="0.45">
      <c r="A921" t="s">
        <v>18</v>
      </c>
      <c r="B921">
        <v>2018</v>
      </c>
      <c r="C921" s="1">
        <v>44083</v>
      </c>
      <c r="D921" t="s">
        <v>25</v>
      </c>
      <c r="E921">
        <v>463452</v>
      </c>
      <c r="F921">
        <v>5056750</v>
      </c>
      <c r="G921">
        <v>9.17</v>
      </c>
    </row>
    <row r="922" spans="1:7" x14ac:dyDescent="0.45">
      <c r="A922" t="s">
        <v>19</v>
      </c>
      <c r="B922">
        <v>2018</v>
      </c>
      <c r="C922" s="1">
        <v>44083</v>
      </c>
      <c r="D922" t="s">
        <v>25</v>
      </c>
      <c r="E922">
        <v>67776</v>
      </c>
      <c r="F922">
        <v>615077</v>
      </c>
      <c r="G922">
        <v>11.02</v>
      </c>
    </row>
    <row r="923" spans="1:7" x14ac:dyDescent="0.45">
      <c r="A923" t="s">
        <v>24</v>
      </c>
      <c r="B923">
        <v>2018</v>
      </c>
      <c r="C923" s="1">
        <v>44083</v>
      </c>
      <c r="D923" t="s">
        <v>25</v>
      </c>
      <c r="E923">
        <v>415349</v>
      </c>
      <c r="F923">
        <v>3509161</v>
      </c>
      <c r="G923">
        <v>11.84</v>
      </c>
    </row>
    <row r="924" spans="1:7" x14ac:dyDescent="0.45">
      <c r="A924" t="s">
        <v>20</v>
      </c>
      <c r="B924">
        <v>2018</v>
      </c>
      <c r="C924" s="1">
        <v>44083</v>
      </c>
      <c r="D924" t="s">
        <v>25</v>
      </c>
      <c r="E924">
        <v>2697851</v>
      </c>
      <c r="F924">
        <v>22899863</v>
      </c>
      <c r="G924">
        <v>11.78</v>
      </c>
    </row>
    <row r="925" spans="1:7" x14ac:dyDescent="0.45">
      <c r="A925" t="s">
        <v>21</v>
      </c>
      <c r="B925">
        <v>2018</v>
      </c>
      <c r="C925" s="1">
        <v>44083</v>
      </c>
      <c r="D925" t="s">
        <v>25</v>
      </c>
      <c r="E925">
        <v>522887</v>
      </c>
      <c r="F925">
        <v>7056421</v>
      </c>
      <c r="G925">
        <v>7.41</v>
      </c>
    </row>
    <row r="926" spans="1:7" x14ac:dyDescent="0.45">
      <c r="A926" t="s">
        <v>7</v>
      </c>
      <c r="B926">
        <v>2018</v>
      </c>
      <c r="C926" s="1">
        <v>44114</v>
      </c>
      <c r="D926" t="s">
        <v>8</v>
      </c>
      <c r="E926">
        <v>62690</v>
      </c>
      <c r="F926">
        <v>590760</v>
      </c>
      <c r="G926">
        <v>10.61</v>
      </c>
    </row>
    <row r="927" spans="1:7" x14ac:dyDescent="0.45">
      <c r="A927" t="s">
        <v>9</v>
      </c>
      <c r="B927">
        <v>2018</v>
      </c>
      <c r="C927" s="1">
        <v>44114</v>
      </c>
      <c r="D927" t="s">
        <v>8</v>
      </c>
      <c r="E927">
        <v>122497</v>
      </c>
      <c r="F927">
        <v>2465297</v>
      </c>
      <c r="G927">
        <v>4.97</v>
      </c>
    </row>
    <row r="928" spans="1:7" x14ac:dyDescent="0.45">
      <c r="A928" t="s">
        <v>10</v>
      </c>
      <c r="B928">
        <v>2018</v>
      </c>
      <c r="C928" s="1">
        <v>44114</v>
      </c>
      <c r="D928" t="s">
        <v>8</v>
      </c>
      <c r="E928">
        <v>495193</v>
      </c>
      <c r="F928">
        <v>4715895</v>
      </c>
      <c r="G928">
        <v>10.5</v>
      </c>
    </row>
    <row r="929" spans="1:7" x14ac:dyDescent="0.45">
      <c r="A929" t="s">
        <v>11</v>
      </c>
      <c r="B929">
        <v>2018</v>
      </c>
      <c r="C929" s="1">
        <v>44114</v>
      </c>
      <c r="D929" t="s">
        <v>8</v>
      </c>
      <c r="E929">
        <v>329823</v>
      </c>
      <c r="F929">
        <v>3019150</v>
      </c>
      <c r="G929">
        <v>10.92</v>
      </c>
    </row>
    <row r="930" spans="1:7" x14ac:dyDescent="0.45">
      <c r="A930" t="s">
        <v>12</v>
      </c>
      <c r="B930">
        <v>2018</v>
      </c>
      <c r="C930" s="1">
        <v>44114</v>
      </c>
      <c r="D930" t="s">
        <v>8</v>
      </c>
      <c r="E930">
        <v>1668680</v>
      </c>
      <c r="F930">
        <v>17980787</v>
      </c>
      <c r="G930">
        <v>9.2799999999999994</v>
      </c>
    </row>
    <row r="931" spans="1:7" x14ac:dyDescent="0.45">
      <c r="A931" t="s">
        <v>13</v>
      </c>
      <c r="B931">
        <v>2018</v>
      </c>
      <c r="C931" s="1">
        <v>44114</v>
      </c>
      <c r="D931" t="s">
        <v>8</v>
      </c>
      <c r="E931">
        <v>838175</v>
      </c>
      <c r="F931">
        <v>10533371</v>
      </c>
      <c r="G931">
        <v>7.96</v>
      </c>
    </row>
    <row r="932" spans="1:7" x14ac:dyDescent="0.45">
      <c r="A932" t="s">
        <v>14</v>
      </c>
      <c r="B932">
        <v>2018</v>
      </c>
      <c r="C932" s="1">
        <v>44114</v>
      </c>
      <c r="D932" t="s">
        <v>8</v>
      </c>
      <c r="E932">
        <v>154929</v>
      </c>
      <c r="F932">
        <v>2364319</v>
      </c>
      <c r="G932">
        <v>6.55</v>
      </c>
    </row>
    <row r="933" spans="1:7" x14ac:dyDescent="0.45">
      <c r="A933" t="s">
        <v>15</v>
      </c>
      <c r="B933">
        <v>2018</v>
      </c>
      <c r="C933" s="1">
        <v>44114</v>
      </c>
      <c r="D933" t="s">
        <v>8</v>
      </c>
      <c r="E933">
        <v>236191</v>
      </c>
      <c r="F933">
        <v>3681254</v>
      </c>
      <c r="G933">
        <v>6.42</v>
      </c>
    </row>
    <row r="934" spans="1:7" x14ac:dyDescent="0.45">
      <c r="A934" t="s">
        <v>16</v>
      </c>
      <c r="B934">
        <v>2018</v>
      </c>
      <c r="C934" s="1">
        <v>44114</v>
      </c>
      <c r="D934" t="s">
        <v>8</v>
      </c>
      <c r="E934">
        <v>353217</v>
      </c>
      <c r="F934">
        <v>3803169</v>
      </c>
      <c r="G934">
        <v>9.2899999999999991</v>
      </c>
    </row>
    <row r="935" spans="1:7" x14ac:dyDescent="0.45">
      <c r="A935" t="s">
        <v>17</v>
      </c>
      <c r="B935">
        <v>2018</v>
      </c>
      <c r="C935" s="1">
        <v>44114</v>
      </c>
      <c r="D935" t="s">
        <v>8</v>
      </c>
      <c r="E935">
        <v>513324</v>
      </c>
      <c r="F935">
        <v>5844357</v>
      </c>
      <c r="G935">
        <v>8.7799999999999994</v>
      </c>
    </row>
    <row r="936" spans="1:7" x14ac:dyDescent="0.45">
      <c r="A936" t="s">
        <v>18</v>
      </c>
      <c r="B936">
        <v>2018</v>
      </c>
      <c r="C936" s="1">
        <v>44114</v>
      </c>
      <c r="D936" t="s">
        <v>8</v>
      </c>
      <c r="E936">
        <v>473321</v>
      </c>
      <c r="F936">
        <v>5056750</v>
      </c>
      <c r="G936">
        <v>9.36</v>
      </c>
    </row>
    <row r="937" spans="1:7" x14ac:dyDescent="0.45">
      <c r="A937" t="s">
        <v>19</v>
      </c>
      <c r="B937">
        <v>2018</v>
      </c>
      <c r="C937" s="1">
        <v>44114</v>
      </c>
      <c r="D937" t="s">
        <v>8</v>
      </c>
      <c r="E937">
        <v>72506</v>
      </c>
      <c r="F937">
        <v>615077</v>
      </c>
      <c r="G937">
        <v>11.79</v>
      </c>
    </row>
    <row r="938" spans="1:7" x14ac:dyDescent="0.45">
      <c r="A938" t="s">
        <v>20</v>
      </c>
      <c r="B938">
        <v>2018</v>
      </c>
      <c r="C938" s="1">
        <v>44114</v>
      </c>
      <c r="D938" t="s">
        <v>8</v>
      </c>
      <c r="E938">
        <v>1170894</v>
      </c>
      <c r="F938">
        <v>22899863</v>
      </c>
      <c r="G938">
        <v>5.1100000000000003</v>
      </c>
    </row>
    <row r="939" spans="1:7" x14ac:dyDescent="0.45">
      <c r="A939" t="s">
        <v>21</v>
      </c>
      <c r="B939">
        <v>2018</v>
      </c>
      <c r="C939" s="1">
        <v>44114</v>
      </c>
      <c r="D939" t="s">
        <v>8</v>
      </c>
      <c r="E939">
        <v>397794</v>
      </c>
      <c r="F939">
        <v>7056421</v>
      </c>
      <c r="G939">
        <v>5.64</v>
      </c>
    </row>
    <row r="940" spans="1:7" x14ac:dyDescent="0.45">
      <c r="A940" t="s">
        <v>22</v>
      </c>
      <c r="B940">
        <v>2018</v>
      </c>
      <c r="C940" s="1">
        <v>44114</v>
      </c>
      <c r="D940" t="s">
        <v>8</v>
      </c>
      <c r="E940">
        <v>496812</v>
      </c>
      <c r="F940">
        <v>4829270</v>
      </c>
      <c r="G940">
        <v>10.29</v>
      </c>
    </row>
    <row r="941" spans="1:7" x14ac:dyDescent="0.45">
      <c r="A941" t="s">
        <v>7</v>
      </c>
      <c r="B941">
        <v>2018</v>
      </c>
      <c r="C941" s="1">
        <v>44114</v>
      </c>
      <c r="D941" t="s">
        <v>23</v>
      </c>
      <c r="E941">
        <v>26160</v>
      </c>
      <c r="F941">
        <v>590760</v>
      </c>
      <c r="G941">
        <v>4.43</v>
      </c>
    </row>
    <row r="942" spans="1:7" x14ac:dyDescent="0.45">
      <c r="A942" t="s">
        <v>9</v>
      </c>
      <c r="B942">
        <v>2018</v>
      </c>
      <c r="C942" s="1">
        <v>44114</v>
      </c>
      <c r="D942" t="s">
        <v>23</v>
      </c>
      <c r="E942">
        <v>45954</v>
      </c>
      <c r="F942">
        <v>2465297</v>
      </c>
      <c r="G942">
        <v>1.86</v>
      </c>
    </row>
    <row r="943" spans="1:7" x14ac:dyDescent="0.45">
      <c r="A943" t="s">
        <v>10</v>
      </c>
      <c r="B943">
        <v>2018</v>
      </c>
      <c r="C943" s="1">
        <v>44114</v>
      </c>
      <c r="D943" t="s">
        <v>23</v>
      </c>
      <c r="E943">
        <v>214525</v>
      </c>
      <c r="F943">
        <v>4715895</v>
      </c>
      <c r="G943">
        <v>4.55</v>
      </c>
    </row>
    <row r="944" spans="1:7" x14ac:dyDescent="0.45">
      <c r="A944" t="s">
        <v>11</v>
      </c>
      <c r="B944">
        <v>2018</v>
      </c>
      <c r="C944" s="1">
        <v>44114</v>
      </c>
      <c r="D944" t="s">
        <v>23</v>
      </c>
      <c r="E944">
        <v>177707</v>
      </c>
      <c r="F944">
        <v>3019150</v>
      </c>
      <c r="G944">
        <v>5.89</v>
      </c>
    </row>
    <row r="945" spans="1:7" x14ac:dyDescent="0.45">
      <c r="A945" t="s">
        <v>12</v>
      </c>
      <c r="B945">
        <v>2018</v>
      </c>
      <c r="C945" s="1">
        <v>44114</v>
      </c>
      <c r="D945" t="s">
        <v>23</v>
      </c>
      <c r="E945">
        <v>848551</v>
      </c>
      <c r="F945">
        <v>17980787</v>
      </c>
      <c r="G945">
        <v>4.72</v>
      </c>
    </row>
    <row r="946" spans="1:7" x14ac:dyDescent="0.45">
      <c r="A946" t="s">
        <v>13</v>
      </c>
      <c r="B946">
        <v>2018</v>
      </c>
      <c r="C946" s="1">
        <v>44114</v>
      </c>
      <c r="D946" t="s">
        <v>23</v>
      </c>
      <c r="E946">
        <v>452557</v>
      </c>
      <c r="F946">
        <v>10533371</v>
      </c>
      <c r="G946">
        <v>4.3</v>
      </c>
    </row>
    <row r="947" spans="1:7" x14ac:dyDescent="0.45">
      <c r="A947" t="s">
        <v>15</v>
      </c>
      <c r="B947">
        <v>2018</v>
      </c>
      <c r="C947" s="1">
        <v>44114</v>
      </c>
      <c r="D947" t="s">
        <v>23</v>
      </c>
      <c r="E947">
        <v>59837</v>
      </c>
      <c r="F947">
        <v>3681254</v>
      </c>
      <c r="G947">
        <v>1.63</v>
      </c>
    </row>
    <row r="948" spans="1:7" x14ac:dyDescent="0.45">
      <c r="A948" t="s">
        <v>16</v>
      </c>
      <c r="B948">
        <v>2018</v>
      </c>
      <c r="C948" s="1">
        <v>44114</v>
      </c>
      <c r="D948" t="s">
        <v>23</v>
      </c>
      <c r="E948">
        <v>116043</v>
      </c>
      <c r="F948">
        <v>3803169</v>
      </c>
      <c r="G948">
        <v>3.05</v>
      </c>
    </row>
    <row r="949" spans="1:7" x14ac:dyDescent="0.45">
      <c r="A949" t="s">
        <v>17</v>
      </c>
      <c r="B949">
        <v>2018</v>
      </c>
      <c r="C949" s="1">
        <v>44114</v>
      </c>
      <c r="D949" t="s">
        <v>23</v>
      </c>
      <c r="E949">
        <v>319845</v>
      </c>
      <c r="F949">
        <v>5844357</v>
      </c>
      <c r="G949">
        <v>5.47</v>
      </c>
    </row>
    <row r="950" spans="1:7" x14ac:dyDescent="0.45">
      <c r="A950" t="s">
        <v>18</v>
      </c>
      <c r="B950">
        <v>2018</v>
      </c>
      <c r="C950" s="1">
        <v>44114</v>
      </c>
      <c r="D950" t="s">
        <v>23</v>
      </c>
      <c r="E950">
        <v>202379</v>
      </c>
      <c r="F950">
        <v>5056750</v>
      </c>
      <c r="G950">
        <v>4</v>
      </c>
    </row>
    <row r="951" spans="1:7" x14ac:dyDescent="0.45">
      <c r="A951" t="s">
        <v>19</v>
      </c>
      <c r="B951">
        <v>2018</v>
      </c>
      <c r="C951" s="1">
        <v>44114</v>
      </c>
      <c r="D951" t="s">
        <v>23</v>
      </c>
      <c r="E951">
        <v>18955</v>
      </c>
      <c r="F951">
        <v>615077</v>
      </c>
      <c r="G951">
        <v>3.08</v>
      </c>
    </row>
    <row r="952" spans="1:7" x14ac:dyDescent="0.45">
      <c r="A952" t="s">
        <v>24</v>
      </c>
      <c r="B952">
        <v>2018</v>
      </c>
      <c r="C952" s="1">
        <v>44114</v>
      </c>
      <c r="D952" t="s">
        <v>23</v>
      </c>
      <c r="E952">
        <v>163560</v>
      </c>
      <c r="F952">
        <v>3509161</v>
      </c>
      <c r="G952">
        <v>4.66</v>
      </c>
    </row>
    <row r="953" spans="1:7" x14ac:dyDescent="0.45">
      <c r="A953" t="s">
        <v>20</v>
      </c>
      <c r="B953">
        <v>2018</v>
      </c>
      <c r="C953" s="1">
        <v>44114</v>
      </c>
      <c r="D953" t="s">
        <v>23</v>
      </c>
      <c r="E953">
        <v>561690</v>
      </c>
      <c r="F953">
        <v>22899863</v>
      </c>
      <c r="G953">
        <v>2.4500000000000002</v>
      </c>
    </row>
    <row r="954" spans="1:7" x14ac:dyDescent="0.45">
      <c r="A954" t="s">
        <v>21</v>
      </c>
      <c r="B954">
        <v>2018</v>
      </c>
      <c r="C954" s="1">
        <v>44114</v>
      </c>
      <c r="D954" t="s">
        <v>23</v>
      </c>
      <c r="E954">
        <v>302007</v>
      </c>
      <c r="F954">
        <v>7056421</v>
      </c>
      <c r="G954">
        <v>4.28</v>
      </c>
    </row>
    <row r="955" spans="1:7" x14ac:dyDescent="0.45">
      <c r="A955" t="s">
        <v>22</v>
      </c>
      <c r="B955">
        <v>2018</v>
      </c>
      <c r="C955" s="1">
        <v>44114</v>
      </c>
      <c r="D955" t="s">
        <v>23</v>
      </c>
      <c r="E955">
        <v>142085</v>
      </c>
      <c r="F955">
        <v>4829270</v>
      </c>
      <c r="G955">
        <v>2.94</v>
      </c>
    </row>
    <row r="956" spans="1:7" x14ac:dyDescent="0.45">
      <c r="A956" t="s">
        <v>7</v>
      </c>
      <c r="B956">
        <v>2018</v>
      </c>
      <c r="C956" s="1">
        <v>44114</v>
      </c>
      <c r="D956" t="s">
        <v>25</v>
      </c>
      <c r="E956">
        <v>48883</v>
      </c>
      <c r="F956">
        <v>590760</v>
      </c>
      <c r="G956">
        <v>8.27</v>
      </c>
    </row>
    <row r="957" spans="1:7" x14ac:dyDescent="0.45">
      <c r="A957" t="s">
        <v>9</v>
      </c>
      <c r="B957">
        <v>2018</v>
      </c>
      <c r="C957" s="1">
        <v>44114</v>
      </c>
      <c r="D957" t="s">
        <v>25</v>
      </c>
      <c r="E957">
        <v>180185</v>
      </c>
      <c r="F957">
        <v>2465297</v>
      </c>
      <c r="G957">
        <v>7.31</v>
      </c>
    </row>
    <row r="958" spans="1:7" x14ac:dyDescent="0.45">
      <c r="A958" t="s">
        <v>10</v>
      </c>
      <c r="B958">
        <v>2018</v>
      </c>
      <c r="C958" s="1">
        <v>44114</v>
      </c>
      <c r="D958" t="s">
        <v>25</v>
      </c>
      <c r="E958">
        <v>422793</v>
      </c>
      <c r="F958">
        <v>4715895</v>
      </c>
      <c r="G958">
        <v>8.9700000000000006</v>
      </c>
    </row>
    <row r="959" spans="1:7" x14ac:dyDescent="0.45">
      <c r="A959" t="s">
        <v>11</v>
      </c>
      <c r="B959">
        <v>2018</v>
      </c>
      <c r="C959" s="1">
        <v>44114</v>
      </c>
      <c r="D959" t="s">
        <v>25</v>
      </c>
      <c r="E959">
        <v>190046</v>
      </c>
      <c r="F959">
        <v>3019150</v>
      </c>
      <c r="G959">
        <v>6.29</v>
      </c>
    </row>
    <row r="960" spans="1:7" x14ac:dyDescent="0.45">
      <c r="A960" t="s">
        <v>12</v>
      </c>
      <c r="B960">
        <v>2018</v>
      </c>
      <c r="C960" s="1">
        <v>44114</v>
      </c>
      <c r="D960" t="s">
        <v>25</v>
      </c>
      <c r="E960">
        <v>1548321</v>
      </c>
      <c r="F960">
        <v>17980787</v>
      </c>
      <c r="G960">
        <v>8.61</v>
      </c>
    </row>
    <row r="961" spans="1:7" x14ac:dyDescent="0.45">
      <c r="A961" t="s">
        <v>13</v>
      </c>
      <c r="B961">
        <v>2018</v>
      </c>
      <c r="C961" s="1">
        <v>44114</v>
      </c>
      <c r="D961" t="s">
        <v>25</v>
      </c>
      <c r="E961">
        <v>883372</v>
      </c>
      <c r="F961">
        <v>10533371</v>
      </c>
      <c r="G961">
        <v>8.39</v>
      </c>
    </row>
    <row r="962" spans="1:7" x14ac:dyDescent="0.45">
      <c r="A962" t="s">
        <v>14</v>
      </c>
      <c r="B962">
        <v>2018</v>
      </c>
      <c r="C962" s="1">
        <v>44114</v>
      </c>
      <c r="D962" t="s">
        <v>25</v>
      </c>
      <c r="E962">
        <v>160259</v>
      </c>
      <c r="F962">
        <v>2364319</v>
      </c>
      <c r="G962">
        <v>6.78</v>
      </c>
    </row>
    <row r="963" spans="1:7" x14ac:dyDescent="0.45">
      <c r="A963" t="s">
        <v>15</v>
      </c>
      <c r="B963">
        <v>2018</v>
      </c>
      <c r="C963" s="1">
        <v>44114</v>
      </c>
      <c r="D963" t="s">
        <v>25</v>
      </c>
      <c r="E963">
        <v>256409</v>
      </c>
      <c r="F963">
        <v>3681254</v>
      </c>
      <c r="G963">
        <v>6.97</v>
      </c>
    </row>
    <row r="964" spans="1:7" x14ac:dyDescent="0.45">
      <c r="A964" t="s">
        <v>17</v>
      </c>
      <c r="B964">
        <v>2018</v>
      </c>
      <c r="C964" s="1">
        <v>44114</v>
      </c>
      <c r="D964" t="s">
        <v>25</v>
      </c>
      <c r="E964">
        <v>440929</v>
      </c>
      <c r="F964">
        <v>5844357</v>
      </c>
      <c r="G964">
        <v>7.54</v>
      </c>
    </row>
    <row r="965" spans="1:7" x14ac:dyDescent="0.45">
      <c r="A965" t="s">
        <v>18</v>
      </c>
      <c r="B965">
        <v>2018</v>
      </c>
      <c r="C965" s="1">
        <v>44114</v>
      </c>
      <c r="D965" t="s">
        <v>25</v>
      </c>
      <c r="E965">
        <v>464291</v>
      </c>
      <c r="F965">
        <v>5056750</v>
      </c>
      <c r="G965">
        <v>9.18</v>
      </c>
    </row>
    <row r="966" spans="1:7" x14ac:dyDescent="0.45">
      <c r="A966" t="s">
        <v>19</v>
      </c>
      <c r="B966">
        <v>2018</v>
      </c>
      <c r="C966" s="1">
        <v>44114</v>
      </c>
      <c r="D966" t="s">
        <v>25</v>
      </c>
      <c r="E966">
        <v>71795</v>
      </c>
      <c r="F966">
        <v>615077</v>
      </c>
      <c r="G966">
        <v>11.67</v>
      </c>
    </row>
    <row r="967" spans="1:7" x14ac:dyDescent="0.45">
      <c r="A967" t="s">
        <v>24</v>
      </c>
      <c r="B967">
        <v>2018</v>
      </c>
      <c r="C967" s="1">
        <v>44114</v>
      </c>
      <c r="D967" t="s">
        <v>25</v>
      </c>
      <c r="E967">
        <v>360942</v>
      </c>
      <c r="F967">
        <v>3509161</v>
      </c>
      <c r="G967">
        <v>10.29</v>
      </c>
    </row>
    <row r="968" spans="1:7" x14ac:dyDescent="0.45">
      <c r="A968" t="s">
        <v>20</v>
      </c>
      <c r="B968">
        <v>2018</v>
      </c>
      <c r="C968" s="1">
        <v>44114</v>
      </c>
      <c r="D968" t="s">
        <v>25</v>
      </c>
      <c r="E968">
        <v>2107030</v>
      </c>
      <c r="F968">
        <v>22899863</v>
      </c>
      <c r="G968">
        <v>9.1999999999999993</v>
      </c>
    </row>
    <row r="969" spans="1:7" x14ac:dyDescent="0.45">
      <c r="A969" t="s">
        <v>21</v>
      </c>
      <c r="B969">
        <v>2018</v>
      </c>
      <c r="C969" s="1">
        <v>44114</v>
      </c>
      <c r="D969" t="s">
        <v>25</v>
      </c>
      <c r="E969">
        <v>562327</v>
      </c>
      <c r="F969">
        <v>7056421</v>
      </c>
      <c r="G969">
        <v>7.97</v>
      </c>
    </row>
    <row r="970" spans="1:7" x14ac:dyDescent="0.45">
      <c r="A970" t="s">
        <v>7</v>
      </c>
      <c r="B970">
        <v>2018</v>
      </c>
      <c r="C970" s="1">
        <v>44146</v>
      </c>
      <c r="D970" t="s">
        <v>8</v>
      </c>
      <c r="E970">
        <v>63745</v>
      </c>
      <c r="F970">
        <v>590760</v>
      </c>
      <c r="G970">
        <v>10.79</v>
      </c>
    </row>
    <row r="971" spans="1:7" x14ac:dyDescent="0.45">
      <c r="A971" t="s">
        <v>9</v>
      </c>
      <c r="B971">
        <v>2018</v>
      </c>
      <c r="C971" s="1">
        <v>44146</v>
      </c>
      <c r="D971" t="s">
        <v>8</v>
      </c>
      <c r="E971">
        <v>147314</v>
      </c>
      <c r="F971">
        <v>2465297</v>
      </c>
      <c r="G971">
        <v>5.98</v>
      </c>
    </row>
    <row r="972" spans="1:7" x14ac:dyDescent="0.45">
      <c r="A972" t="s">
        <v>10</v>
      </c>
      <c r="B972">
        <v>2018</v>
      </c>
      <c r="C972" s="1">
        <v>44146</v>
      </c>
      <c r="D972" t="s">
        <v>8</v>
      </c>
      <c r="E972">
        <v>513954</v>
      </c>
      <c r="F972">
        <v>4715895</v>
      </c>
      <c r="G972">
        <v>10.9</v>
      </c>
    </row>
    <row r="973" spans="1:7" x14ac:dyDescent="0.45">
      <c r="A973" t="s">
        <v>11</v>
      </c>
      <c r="B973">
        <v>2018</v>
      </c>
      <c r="C973" s="1">
        <v>44146</v>
      </c>
      <c r="D973" t="s">
        <v>8</v>
      </c>
      <c r="E973">
        <v>293870</v>
      </c>
      <c r="F973">
        <v>3019150</v>
      </c>
      <c r="G973">
        <v>9.73</v>
      </c>
    </row>
    <row r="974" spans="1:7" x14ac:dyDescent="0.45">
      <c r="A974" t="s">
        <v>12</v>
      </c>
      <c r="B974">
        <v>2018</v>
      </c>
      <c r="C974" s="1">
        <v>44146</v>
      </c>
      <c r="D974" t="s">
        <v>8</v>
      </c>
      <c r="E974">
        <v>1672826</v>
      </c>
      <c r="F974">
        <v>17980787</v>
      </c>
      <c r="G974">
        <v>9.3000000000000007</v>
      </c>
    </row>
    <row r="975" spans="1:7" x14ac:dyDescent="0.45">
      <c r="A975" t="s">
        <v>13</v>
      </c>
      <c r="B975">
        <v>2018</v>
      </c>
      <c r="C975" s="1">
        <v>44146</v>
      </c>
      <c r="D975" t="s">
        <v>8</v>
      </c>
      <c r="E975">
        <v>795840</v>
      </c>
      <c r="F975">
        <v>10533371</v>
      </c>
      <c r="G975">
        <v>7.56</v>
      </c>
    </row>
    <row r="976" spans="1:7" x14ac:dyDescent="0.45">
      <c r="A976" t="s">
        <v>14</v>
      </c>
      <c r="B976">
        <v>2018</v>
      </c>
      <c r="C976" s="1">
        <v>44146</v>
      </c>
      <c r="D976" t="s">
        <v>8</v>
      </c>
      <c r="E976">
        <v>184658</v>
      </c>
      <c r="F976">
        <v>2364319</v>
      </c>
      <c r="G976">
        <v>7.81</v>
      </c>
    </row>
    <row r="977" spans="1:7" x14ac:dyDescent="0.45">
      <c r="A977" t="s">
        <v>15</v>
      </c>
      <c r="B977">
        <v>2018</v>
      </c>
      <c r="C977" s="1">
        <v>44146</v>
      </c>
      <c r="D977" t="s">
        <v>8</v>
      </c>
      <c r="E977">
        <v>294548</v>
      </c>
      <c r="F977">
        <v>3681254</v>
      </c>
      <c r="G977">
        <v>8</v>
      </c>
    </row>
    <row r="978" spans="1:7" x14ac:dyDescent="0.45">
      <c r="A978" t="s">
        <v>16</v>
      </c>
      <c r="B978">
        <v>2018</v>
      </c>
      <c r="C978" s="1">
        <v>44146</v>
      </c>
      <c r="D978" t="s">
        <v>8</v>
      </c>
      <c r="E978">
        <v>348485</v>
      </c>
      <c r="F978">
        <v>3803169</v>
      </c>
      <c r="G978">
        <v>9.16</v>
      </c>
    </row>
    <row r="979" spans="1:7" x14ac:dyDescent="0.45">
      <c r="A979" t="s">
        <v>17</v>
      </c>
      <c r="B979">
        <v>2018</v>
      </c>
      <c r="C979" s="1">
        <v>44146</v>
      </c>
      <c r="D979" t="s">
        <v>8</v>
      </c>
      <c r="E979">
        <v>520530</v>
      </c>
      <c r="F979">
        <v>5844357</v>
      </c>
      <c r="G979">
        <v>8.91</v>
      </c>
    </row>
    <row r="980" spans="1:7" x14ac:dyDescent="0.45">
      <c r="A980" t="s">
        <v>18</v>
      </c>
      <c r="B980">
        <v>2018</v>
      </c>
      <c r="C980" s="1">
        <v>44146</v>
      </c>
      <c r="D980" t="s">
        <v>8</v>
      </c>
      <c r="E980">
        <v>493781</v>
      </c>
      <c r="F980">
        <v>5056750</v>
      </c>
      <c r="G980">
        <v>9.76</v>
      </c>
    </row>
    <row r="981" spans="1:7" x14ac:dyDescent="0.45">
      <c r="A981" t="s">
        <v>19</v>
      </c>
      <c r="B981">
        <v>2018</v>
      </c>
      <c r="C981" s="1">
        <v>44146</v>
      </c>
      <c r="D981" t="s">
        <v>8</v>
      </c>
      <c r="E981">
        <v>68440</v>
      </c>
      <c r="F981">
        <v>615077</v>
      </c>
      <c r="G981">
        <v>11.13</v>
      </c>
    </row>
    <row r="982" spans="1:7" x14ac:dyDescent="0.45">
      <c r="A982" t="s">
        <v>20</v>
      </c>
      <c r="B982">
        <v>2018</v>
      </c>
      <c r="C982" s="1">
        <v>44146</v>
      </c>
      <c r="D982" t="s">
        <v>8</v>
      </c>
      <c r="E982">
        <v>1451523</v>
      </c>
      <c r="F982">
        <v>22899863</v>
      </c>
      <c r="G982">
        <v>6.34</v>
      </c>
    </row>
    <row r="983" spans="1:7" x14ac:dyDescent="0.45">
      <c r="A983" t="s">
        <v>21</v>
      </c>
      <c r="B983">
        <v>2018</v>
      </c>
      <c r="C983" s="1">
        <v>44146</v>
      </c>
      <c r="D983" t="s">
        <v>8</v>
      </c>
      <c r="E983">
        <v>450377</v>
      </c>
      <c r="F983">
        <v>7056421</v>
      </c>
      <c r="G983">
        <v>6.38</v>
      </c>
    </row>
    <row r="984" spans="1:7" x14ac:dyDescent="0.45">
      <c r="A984" t="s">
        <v>22</v>
      </c>
      <c r="B984">
        <v>2018</v>
      </c>
      <c r="C984" s="1">
        <v>44146</v>
      </c>
      <c r="D984" t="s">
        <v>8</v>
      </c>
      <c r="E984">
        <v>610052</v>
      </c>
      <c r="F984">
        <v>4829270</v>
      </c>
      <c r="G984">
        <v>12.63</v>
      </c>
    </row>
    <row r="985" spans="1:7" x14ac:dyDescent="0.45">
      <c r="A985" t="s">
        <v>7</v>
      </c>
      <c r="B985">
        <v>2018</v>
      </c>
      <c r="C985" s="1">
        <v>44146</v>
      </c>
      <c r="D985" t="s">
        <v>23</v>
      </c>
      <c r="E985">
        <v>27759</v>
      </c>
      <c r="F985">
        <v>590760</v>
      </c>
      <c r="G985">
        <v>4.7</v>
      </c>
    </row>
    <row r="986" spans="1:7" x14ac:dyDescent="0.45">
      <c r="A986" t="s">
        <v>9</v>
      </c>
      <c r="B986">
        <v>2018</v>
      </c>
      <c r="C986" s="1">
        <v>44146</v>
      </c>
      <c r="D986" t="s">
        <v>23</v>
      </c>
      <c r="E986">
        <v>46433</v>
      </c>
      <c r="F986">
        <v>2465297</v>
      </c>
      <c r="G986">
        <v>1.88</v>
      </c>
    </row>
    <row r="987" spans="1:7" x14ac:dyDescent="0.45">
      <c r="A987" t="s">
        <v>10</v>
      </c>
      <c r="B987">
        <v>2018</v>
      </c>
      <c r="C987" s="1">
        <v>44146</v>
      </c>
      <c r="D987" t="s">
        <v>23</v>
      </c>
      <c r="E987">
        <v>233078</v>
      </c>
      <c r="F987">
        <v>4715895</v>
      </c>
      <c r="G987">
        <v>4.9400000000000004</v>
      </c>
    </row>
    <row r="988" spans="1:7" x14ac:dyDescent="0.45">
      <c r="A988" t="s">
        <v>11</v>
      </c>
      <c r="B988">
        <v>2018</v>
      </c>
      <c r="C988" s="1">
        <v>44146</v>
      </c>
      <c r="D988" t="s">
        <v>23</v>
      </c>
      <c r="E988">
        <v>179438</v>
      </c>
      <c r="F988">
        <v>3019150</v>
      </c>
      <c r="G988">
        <v>5.94</v>
      </c>
    </row>
    <row r="989" spans="1:7" x14ac:dyDescent="0.45">
      <c r="A989" t="s">
        <v>12</v>
      </c>
      <c r="B989">
        <v>2018</v>
      </c>
      <c r="C989" s="1">
        <v>44146</v>
      </c>
      <c r="D989" t="s">
        <v>23</v>
      </c>
      <c r="E989">
        <v>903332</v>
      </c>
      <c r="F989">
        <v>17980787</v>
      </c>
      <c r="G989">
        <v>5.0199999999999996</v>
      </c>
    </row>
    <row r="990" spans="1:7" x14ac:dyDescent="0.45">
      <c r="A990" t="s">
        <v>13</v>
      </c>
      <c r="B990">
        <v>2018</v>
      </c>
      <c r="C990" s="1">
        <v>44146</v>
      </c>
      <c r="D990" t="s">
        <v>23</v>
      </c>
      <c r="E990">
        <v>461662</v>
      </c>
      <c r="F990">
        <v>10533371</v>
      </c>
      <c r="G990">
        <v>4.38</v>
      </c>
    </row>
    <row r="991" spans="1:7" x14ac:dyDescent="0.45">
      <c r="A991" t="s">
        <v>15</v>
      </c>
      <c r="B991">
        <v>2018</v>
      </c>
      <c r="C991" s="1">
        <v>44146</v>
      </c>
      <c r="D991" t="s">
        <v>23</v>
      </c>
      <c r="E991">
        <v>73424</v>
      </c>
      <c r="F991">
        <v>3681254</v>
      </c>
      <c r="G991">
        <v>1.99</v>
      </c>
    </row>
    <row r="992" spans="1:7" x14ac:dyDescent="0.45">
      <c r="A992" t="s">
        <v>16</v>
      </c>
      <c r="B992">
        <v>2018</v>
      </c>
      <c r="C992" s="1">
        <v>44146</v>
      </c>
      <c r="D992" t="s">
        <v>23</v>
      </c>
      <c r="E992">
        <v>123481</v>
      </c>
      <c r="F992">
        <v>3803169</v>
      </c>
      <c r="G992">
        <v>3.25</v>
      </c>
    </row>
    <row r="993" spans="1:7" x14ac:dyDescent="0.45">
      <c r="A993" t="s">
        <v>17</v>
      </c>
      <c r="B993">
        <v>2018</v>
      </c>
      <c r="C993" s="1">
        <v>44146</v>
      </c>
      <c r="D993" t="s">
        <v>23</v>
      </c>
      <c r="E993">
        <v>357793</v>
      </c>
      <c r="F993">
        <v>5844357</v>
      </c>
      <c r="G993">
        <v>6.12</v>
      </c>
    </row>
    <row r="994" spans="1:7" x14ac:dyDescent="0.45">
      <c r="A994" t="s">
        <v>18</v>
      </c>
      <c r="B994">
        <v>2018</v>
      </c>
      <c r="C994" s="1">
        <v>44146</v>
      </c>
      <c r="D994" t="s">
        <v>23</v>
      </c>
      <c r="E994">
        <v>173187</v>
      </c>
      <c r="F994">
        <v>5056750</v>
      </c>
      <c r="G994">
        <v>3.42</v>
      </c>
    </row>
    <row r="995" spans="1:7" x14ac:dyDescent="0.45">
      <c r="A995" t="s">
        <v>19</v>
      </c>
      <c r="B995">
        <v>2018</v>
      </c>
      <c r="C995" s="1">
        <v>44146</v>
      </c>
      <c r="D995" t="s">
        <v>23</v>
      </c>
      <c r="E995">
        <v>23580</v>
      </c>
      <c r="F995">
        <v>615077</v>
      </c>
      <c r="G995">
        <v>3.83</v>
      </c>
    </row>
    <row r="996" spans="1:7" x14ac:dyDescent="0.45">
      <c r="A996" t="s">
        <v>24</v>
      </c>
      <c r="B996">
        <v>2018</v>
      </c>
      <c r="C996" s="1">
        <v>44146</v>
      </c>
      <c r="D996" t="s">
        <v>23</v>
      </c>
      <c r="E996">
        <v>176499</v>
      </c>
      <c r="F996">
        <v>3509161</v>
      </c>
      <c r="G996">
        <v>5.03</v>
      </c>
    </row>
    <row r="997" spans="1:7" x14ac:dyDescent="0.45">
      <c r="A997" t="s">
        <v>20</v>
      </c>
      <c r="B997">
        <v>2018</v>
      </c>
      <c r="C997" s="1">
        <v>44146</v>
      </c>
      <c r="D997" t="s">
        <v>23</v>
      </c>
      <c r="E997">
        <v>686690</v>
      </c>
      <c r="F997">
        <v>22899863</v>
      </c>
      <c r="G997">
        <v>3</v>
      </c>
    </row>
    <row r="998" spans="1:7" x14ac:dyDescent="0.45">
      <c r="A998" t="s">
        <v>21</v>
      </c>
      <c r="B998">
        <v>2018</v>
      </c>
      <c r="C998" s="1">
        <v>44146</v>
      </c>
      <c r="D998" t="s">
        <v>23</v>
      </c>
      <c r="E998">
        <v>342536</v>
      </c>
      <c r="F998">
        <v>7056421</v>
      </c>
      <c r="G998">
        <v>4.8499999999999996</v>
      </c>
    </row>
    <row r="999" spans="1:7" x14ac:dyDescent="0.45">
      <c r="A999" t="s">
        <v>22</v>
      </c>
      <c r="B999">
        <v>2018</v>
      </c>
      <c r="C999" s="1">
        <v>44146</v>
      </c>
      <c r="D999" t="s">
        <v>23</v>
      </c>
      <c r="E999">
        <v>183456</v>
      </c>
      <c r="F999">
        <v>4829270</v>
      </c>
      <c r="G999">
        <v>3.8</v>
      </c>
    </row>
    <row r="1000" spans="1:7" x14ac:dyDescent="0.45">
      <c r="A1000" t="s">
        <v>7</v>
      </c>
      <c r="B1000">
        <v>2018</v>
      </c>
      <c r="C1000" s="1">
        <v>44146</v>
      </c>
      <c r="D1000" t="s">
        <v>25</v>
      </c>
      <c r="E1000">
        <v>43811</v>
      </c>
      <c r="F1000">
        <v>590760</v>
      </c>
      <c r="G1000">
        <v>7.42</v>
      </c>
    </row>
    <row r="1001" spans="1:7" x14ac:dyDescent="0.45">
      <c r="A1001" t="s">
        <v>9</v>
      </c>
      <c r="B1001">
        <v>2018</v>
      </c>
      <c r="C1001" s="1">
        <v>44146</v>
      </c>
      <c r="D1001" t="s">
        <v>25</v>
      </c>
      <c r="E1001">
        <v>197120</v>
      </c>
      <c r="F1001">
        <v>2465297</v>
      </c>
      <c r="G1001">
        <v>8</v>
      </c>
    </row>
    <row r="1002" spans="1:7" x14ac:dyDescent="0.45">
      <c r="A1002" t="s">
        <v>10</v>
      </c>
      <c r="B1002">
        <v>2018</v>
      </c>
      <c r="C1002" s="1">
        <v>44146</v>
      </c>
      <c r="D1002" t="s">
        <v>25</v>
      </c>
      <c r="E1002">
        <v>417940</v>
      </c>
      <c r="F1002">
        <v>4715895</v>
      </c>
      <c r="G1002">
        <v>8.86</v>
      </c>
    </row>
    <row r="1003" spans="1:7" x14ac:dyDescent="0.45">
      <c r="A1003" t="s">
        <v>11</v>
      </c>
      <c r="B1003">
        <v>2018</v>
      </c>
      <c r="C1003" s="1">
        <v>44146</v>
      </c>
      <c r="D1003" t="s">
        <v>25</v>
      </c>
      <c r="E1003">
        <v>182726</v>
      </c>
      <c r="F1003">
        <v>3019150</v>
      </c>
      <c r="G1003">
        <v>6.05</v>
      </c>
    </row>
    <row r="1004" spans="1:7" x14ac:dyDescent="0.45">
      <c r="A1004" t="s">
        <v>12</v>
      </c>
      <c r="B1004">
        <v>2018</v>
      </c>
      <c r="C1004" s="1">
        <v>44146</v>
      </c>
      <c r="D1004" t="s">
        <v>25</v>
      </c>
      <c r="E1004">
        <v>1650676</v>
      </c>
      <c r="F1004">
        <v>17980787</v>
      </c>
      <c r="G1004">
        <v>9.18</v>
      </c>
    </row>
    <row r="1005" spans="1:7" x14ac:dyDescent="0.45">
      <c r="A1005" t="s">
        <v>13</v>
      </c>
      <c r="B1005">
        <v>2018</v>
      </c>
      <c r="C1005" s="1">
        <v>44146</v>
      </c>
      <c r="D1005" t="s">
        <v>25</v>
      </c>
      <c r="E1005">
        <v>892216</v>
      </c>
      <c r="F1005">
        <v>10533371</v>
      </c>
      <c r="G1005">
        <v>8.4700000000000006</v>
      </c>
    </row>
    <row r="1006" spans="1:7" x14ac:dyDescent="0.45">
      <c r="A1006" t="s">
        <v>14</v>
      </c>
      <c r="B1006">
        <v>2018</v>
      </c>
      <c r="C1006" s="1">
        <v>44146</v>
      </c>
      <c r="D1006" t="s">
        <v>25</v>
      </c>
      <c r="E1006">
        <v>191461</v>
      </c>
      <c r="F1006">
        <v>2364319</v>
      </c>
      <c r="G1006">
        <v>8.1</v>
      </c>
    </row>
    <row r="1007" spans="1:7" x14ac:dyDescent="0.45">
      <c r="A1007" t="s">
        <v>15</v>
      </c>
      <c r="B1007">
        <v>2018</v>
      </c>
      <c r="C1007" s="1">
        <v>44146</v>
      </c>
      <c r="D1007" t="s">
        <v>25</v>
      </c>
      <c r="E1007">
        <v>227750</v>
      </c>
      <c r="F1007">
        <v>3681254</v>
      </c>
      <c r="G1007">
        <v>6.19</v>
      </c>
    </row>
    <row r="1008" spans="1:7" x14ac:dyDescent="0.45">
      <c r="A1008" t="s">
        <v>17</v>
      </c>
      <c r="B1008">
        <v>2018</v>
      </c>
      <c r="C1008" s="1">
        <v>44146</v>
      </c>
      <c r="D1008" t="s">
        <v>25</v>
      </c>
      <c r="E1008">
        <v>358489</v>
      </c>
      <c r="F1008">
        <v>5844357</v>
      </c>
      <c r="G1008">
        <v>6.13</v>
      </c>
    </row>
    <row r="1009" spans="1:7" x14ac:dyDescent="0.45">
      <c r="A1009" t="s">
        <v>18</v>
      </c>
      <c r="B1009">
        <v>2018</v>
      </c>
      <c r="C1009" s="1">
        <v>44146</v>
      </c>
      <c r="D1009" t="s">
        <v>25</v>
      </c>
      <c r="E1009">
        <v>418029</v>
      </c>
      <c r="F1009">
        <v>5056750</v>
      </c>
      <c r="G1009">
        <v>8.27</v>
      </c>
    </row>
    <row r="1010" spans="1:7" x14ac:dyDescent="0.45">
      <c r="A1010" t="s">
        <v>19</v>
      </c>
      <c r="B1010">
        <v>2018</v>
      </c>
      <c r="C1010" s="1">
        <v>44146</v>
      </c>
      <c r="D1010" t="s">
        <v>25</v>
      </c>
      <c r="E1010">
        <v>65959</v>
      </c>
      <c r="F1010">
        <v>615077</v>
      </c>
      <c r="G1010">
        <v>10.72</v>
      </c>
    </row>
    <row r="1011" spans="1:7" x14ac:dyDescent="0.45">
      <c r="A1011" t="s">
        <v>24</v>
      </c>
      <c r="B1011">
        <v>2018</v>
      </c>
      <c r="C1011" s="1">
        <v>44146</v>
      </c>
      <c r="D1011" t="s">
        <v>25</v>
      </c>
      <c r="E1011">
        <v>332333</v>
      </c>
      <c r="F1011">
        <v>3509161</v>
      </c>
      <c r="G1011">
        <v>9.4700000000000006</v>
      </c>
    </row>
    <row r="1012" spans="1:7" x14ac:dyDescent="0.45">
      <c r="A1012" t="s">
        <v>20</v>
      </c>
      <c r="B1012">
        <v>2018</v>
      </c>
      <c r="C1012" s="1">
        <v>44146</v>
      </c>
      <c r="D1012" t="s">
        <v>25</v>
      </c>
      <c r="E1012">
        <v>2282593</v>
      </c>
      <c r="F1012">
        <v>22899863</v>
      </c>
      <c r="G1012">
        <v>9.9700000000000006</v>
      </c>
    </row>
    <row r="1013" spans="1:7" x14ac:dyDescent="0.45">
      <c r="A1013" t="s">
        <v>21</v>
      </c>
      <c r="B1013">
        <v>2018</v>
      </c>
      <c r="C1013" s="1">
        <v>44146</v>
      </c>
      <c r="D1013" t="s">
        <v>25</v>
      </c>
      <c r="E1013">
        <v>542676</v>
      </c>
      <c r="F1013">
        <v>7056421</v>
      </c>
      <c r="G1013">
        <v>7.69</v>
      </c>
    </row>
    <row r="1014" spans="1:7" x14ac:dyDescent="0.45">
      <c r="A1014" t="s">
        <v>7</v>
      </c>
      <c r="B1014">
        <v>2018</v>
      </c>
      <c r="C1014" s="1">
        <v>44177</v>
      </c>
      <c r="D1014" t="s">
        <v>8</v>
      </c>
      <c r="E1014">
        <v>68120</v>
      </c>
      <c r="F1014">
        <v>590760</v>
      </c>
      <c r="G1014">
        <v>11.53</v>
      </c>
    </row>
    <row r="1015" spans="1:7" x14ac:dyDescent="0.45">
      <c r="A1015" t="s">
        <v>9</v>
      </c>
      <c r="B1015">
        <v>2018</v>
      </c>
      <c r="C1015" s="1">
        <v>44177</v>
      </c>
      <c r="D1015" t="s">
        <v>8</v>
      </c>
      <c r="E1015">
        <v>141773</v>
      </c>
      <c r="F1015">
        <v>2465297</v>
      </c>
      <c r="G1015">
        <v>5.75</v>
      </c>
    </row>
    <row r="1016" spans="1:7" x14ac:dyDescent="0.45">
      <c r="A1016" t="s">
        <v>10</v>
      </c>
      <c r="B1016">
        <v>2018</v>
      </c>
      <c r="C1016" s="1">
        <v>44177</v>
      </c>
      <c r="D1016" t="s">
        <v>8</v>
      </c>
      <c r="E1016">
        <v>666649</v>
      </c>
      <c r="F1016">
        <v>4715895</v>
      </c>
      <c r="G1016">
        <v>14.14</v>
      </c>
    </row>
    <row r="1017" spans="1:7" x14ac:dyDescent="0.45">
      <c r="A1017" t="s">
        <v>11</v>
      </c>
      <c r="B1017">
        <v>2018</v>
      </c>
      <c r="C1017" s="1">
        <v>44177</v>
      </c>
      <c r="D1017" t="s">
        <v>8</v>
      </c>
      <c r="E1017">
        <v>252690</v>
      </c>
      <c r="F1017">
        <v>3019150</v>
      </c>
      <c r="G1017">
        <v>8.3699999999999992</v>
      </c>
    </row>
    <row r="1018" spans="1:7" x14ac:dyDescent="0.45">
      <c r="A1018" t="s">
        <v>12</v>
      </c>
      <c r="B1018">
        <v>2018</v>
      </c>
      <c r="C1018" s="1">
        <v>44177</v>
      </c>
      <c r="D1018" t="s">
        <v>8</v>
      </c>
      <c r="E1018">
        <v>2232884</v>
      </c>
      <c r="F1018">
        <v>17980787</v>
      </c>
      <c r="G1018">
        <v>12.42</v>
      </c>
    </row>
    <row r="1019" spans="1:7" x14ac:dyDescent="0.45">
      <c r="A1019" t="s">
        <v>13</v>
      </c>
      <c r="B1019">
        <v>2018</v>
      </c>
      <c r="C1019" s="1">
        <v>44177</v>
      </c>
      <c r="D1019" t="s">
        <v>8</v>
      </c>
      <c r="E1019">
        <v>1091330</v>
      </c>
      <c r="F1019">
        <v>10533371</v>
      </c>
      <c r="G1019">
        <v>10.36</v>
      </c>
    </row>
    <row r="1020" spans="1:7" x14ac:dyDescent="0.45">
      <c r="A1020" t="s">
        <v>14</v>
      </c>
      <c r="B1020">
        <v>2018</v>
      </c>
      <c r="C1020" s="1">
        <v>44177</v>
      </c>
      <c r="D1020" t="s">
        <v>8</v>
      </c>
      <c r="E1020">
        <v>202666</v>
      </c>
      <c r="F1020">
        <v>2364319</v>
      </c>
      <c r="G1020">
        <v>8.57</v>
      </c>
    </row>
    <row r="1021" spans="1:7" x14ac:dyDescent="0.45">
      <c r="A1021" t="s">
        <v>15</v>
      </c>
      <c r="B1021">
        <v>2018</v>
      </c>
      <c r="C1021" s="1">
        <v>44177</v>
      </c>
      <c r="D1021" t="s">
        <v>8</v>
      </c>
      <c r="E1021">
        <v>152546</v>
      </c>
      <c r="F1021">
        <v>3681254</v>
      </c>
      <c r="G1021">
        <v>4.1399999999999997</v>
      </c>
    </row>
    <row r="1022" spans="1:7" x14ac:dyDescent="0.45">
      <c r="A1022" t="s">
        <v>16</v>
      </c>
      <c r="B1022">
        <v>2018</v>
      </c>
      <c r="C1022" s="1">
        <v>44177</v>
      </c>
      <c r="D1022" t="s">
        <v>8</v>
      </c>
      <c r="E1022">
        <v>306103</v>
      </c>
      <c r="F1022">
        <v>3803169</v>
      </c>
      <c r="G1022">
        <v>8.0500000000000007</v>
      </c>
    </row>
    <row r="1023" spans="1:7" x14ac:dyDescent="0.45">
      <c r="A1023" t="s">
        <v>17</v>
      </c>
      <c r="B1023">
        <v>2018</v>
      </c>
      <c r="C1023" s="1">
        <v>44177</v>
      </c>
      <c r="D1023" t="s">
        <v>8</v>
      </c>
      <c r="E1023">
        <v>706108</v>
      </c>
      <c r="F1023">
        <v>5844357</v>
      </c>
      <c r="G1023">
        <v>12.08</v>
      </c>
    </row>
    <row r="1024" spans="1:7" x14ac:dyDescent="0.45">
      <c r="A1024" t="s">
        <v>18</v>
      </c>
      <c r="B1024">
        <v>2018</v>
      </c>
      <c r="C1024" s="1">
        <v>44177</v>
      </c>
      <c r="D1024" t="s">
        <v>8</v>
      </c>
      <c r="E1024">
        <v>428880</v>
      </c>
      <c r="F1024">
        <v>5056750</v>
      </c>
      <c r="G1024">
        <v>8.48</v>
      </c>
    </row>
    <row r="1025" spans="1:7" x14ac:dyDescent="0.45">
      <c r="A1025" t="s">
        <v>19</v>
      </c>
      <c r="B1025">
        <v>2018</v>
      </c>
      <c r="C1025" s="1">
        <v>44177</v>
      </c>
      <c r="D1025" t="s">
        <v>8</v>
      </c>
      <c r="E1025">
        <v>89422</v>
      </c>
      <c r="F1025">
        <v>615077</v>
      </c>
      <c r="G1025">
        <v>14.54</v>
      </c>
    </row>
    <row r="1026" spans="1:7" x14ac:dyDescent="0.45">
      <c r="A1026" t="s">
        <v>20</v>
      </c>
      <c r="B1026">
        <v>2018</v>
      </c>
      <c r="C1026" s="1">
        <v>44177</v>
      </c>
      <c r="D1026" t="s">
        <v>8</v>
      </c>
      <c r="E1026">
        <v>1530749</v>
      </c>
      <c r="F1026">
        <v>22899863</v>
      </c>
      <c r="G1026">
        <v>6.68</v>
      </c>
    </row>
    <row r="1027" spans="1:7" x14ac:dyDescent="0.45">
      <c r="A1027" t="s">
        <v>21</v>
      </c>
      <c r="B1027">
        <v>2018</v>
      </c>
      <c r="C1027" s="1">
        <v>44177</v>
      </c>
      <c r="D1027" t="s">
        <v>8</v>
      </c>
      <c r="E1027">
        <v>538269</v>
      </c>
      <c r="F1027">
        <v>7056421</v>
      </c>
      <c r="G1027">
        <v>7.63</v>
      </c>
    </row>
    <row r="1028" spans="1:7" x14ac:dyDescent="0.45">
      <c r="A1028" t="s">
        <v>22</v>
      </c>
      <c r="B1028">
        <v>2018</v>
      </c>
      <c r="C1028" s="1">
        <v>44177</v>
      </c>
      <c r="D1028" t="s">
        <v>8</v>
      </c>
      <c r="E1028">
        <v>419857</v>
      </c>
      <c r="F1028">
        <v>4829270</v>
      </c>
      <c r="G1028">
        <v>8.69</v>
      </c>
    </row>
    <row r="1029" spans="1:7" x14ac:dyDescent="0.45">
      <c r="A1029" t="s">
        <v>7</v>
      </c>
      <c r="B1029">
        <v>2018</v>
      </c>
      <c r="C1029" s="1">
        <v>44177</v>
      </c>
      <c r="D1029" t="s">
        <v>23</v>
      </c>
      <c r="E1029">
        <v>29058</v>
      </c>
      <c r="F1029">
        <v>590760</v>
      </c>
      <c r="G1029">
        <v>4.92</v>
      </c>
    </row>
    <row r="1030" spans="1:7" x14ac:dyDescent="0.45">
      <c r="A1030" t="s">
        <v>9</v>
      </c>
      <c r="B1030">
        <v>2018</v>
      </c>
      <c r="C1030" s="1">
        <v>44177</v>
      </c>
      <c r="D1030" t="s">
        <v>23</v>
      </c>
      <c r="E1030">
        <v>53967</v>
      </c>
      <c r="F1030">
        <v>2465297</v>
      </c>
      <c r="G1030">
        <v>2.19</v>
      </c>
    </row>
    <row r="1031" spans="1:7" x14ac:dyDescent="0.45">
      <c r="A1031" t="s">
        <v>10</v>
      </c>
      <c r="B1031">
        <v>2018</v>
      </c>
      <c r="C1031" s="1">
        <v>44177</v>
      </c>
      <c r="D1031" t="s">
        <v>23</v>
      </c>
      <c r="E1031">
        <v>256549</v>
      </c>
      <c r="F1031">
        <v>4715895</v>
      </c>
      <c r="G1031">
        <v>5.44</v>
      </c>
    </row>
    <row r="1032" spans="1:7" x14ac:dyDescent="0.45">
      <c r="A1032" t="s">
        <v>11</v>
      </c>
      <c r="B1032">
        <v>2018</v>
      </c>
      <c r="C1032" s="1">
        <v>44177</v>
      </c>
      <c r="D1032" t="s">
        <v>23</v>
      </c>
      <c r="E1032">
        <v>171703</v>
      </c>
      <c r="F1032">
        <v>3019150</v>
      </c>
      <c r="G1032">
        <v>5.69</v>
      </c>
    </row>
    <row r="1033" spans="1:7" x14ac:dyDescent="0.45">
      <c r="A1033" t="s">
        <v>12</v>
      </c>
      <c r="B1033">
        <v>2018</v>
      </c>
      <c r="C1033" s="1">
        <v>44177</v>
      </c>
      <c r="D1033" t="s">
        <v>23</v>
      </c>
      <c r="E1033">
        <v>924553</v>
      </c>
      <c r="F1033">
        <v>17980787</v>
      </c>
      <c r="G1033">
        <v>5.14</v>
      </c>
    </row>
    <row r="1034" spans="1:7" x14ac:dyDescent="0.45">
      <c r="A1034" t="s">
        <v>13</v>
      </c>
      <c r="B1034">
        <v>2018</v>
      </c>
      <c r="C1034" s="1">
        <v>44177</v>
      </c>
      <c r="D1034" t="s">
        <v>23</v>
      </c>
      <c r="E1034">
        <v>515275</v>
      </c>
      <c r="F1034">
        <v>10533371</v>
      </c>
      <c r="G1034">
        <v>4.8899999999999997</v>
      </c>
    </row>
    <row r="1035" spans="1:7" x14ac:dyDescent="0.45">
      <c r="A1035" t="s">
        <v>15</v>
      </c>
      <c r="B1035">
        <v>2018</v>
      </c>
      <c r="C1035" s="1">
        <v>44177</v>
      </c>
      <c r="D1035" t="s">
        <v>23</v>
      </c>
      <c r="E1035">
        <v>43987</v>
      </c>
      <c r="F1035">
        <v>3681254</v>
      </c>
      <c r="G1035">
        <v>1.19</v>
      </c>
    </row>
    <row r="1036" spans="1:7" x14ac:dyDescent="0.45">
      <c r="A1036" t="s">
        <v>16</v>
      </c>
      <c r="B1036">
        <v>2018</v>
      </c>
      <c r="C1036" s="1">
        <v>44177</v>
      </c>
      <c r="D1036" t="s">
        <v>23</v>
      </c>
      <c r="E1036">
        <v>121533</v>
      </c>
      <c r="F1036">
        <v>3803169</v>
      </c>
      <c r="G1036">
        <v>3.2</v>
      </c>
    </row>
    <row r="1037" spans="1:7" x14ac:dyDescent="0.45">
      <c r="A1037" t="s">
        <v>17</v>
      </c>
      <c r="B1037">
        <v>2018</v>
      </c>
      <c r="C1037" s="1">
        <v>44177</v>
      </c>
      <c r="D1037" t="s">
        <v>23</v>
      </c>
      <c r="E1037">
        <v>436148</v>
      </c>
      <c r="F1037">
        <v>5844357</v>
      </c>
      <c r="G1037">
        <v>7.46</v>
      </c>
    </row>
    <row r="1038" spans="1:7" x14ac:dyDescent="0.45">
      <c r="A1038" t="s">
        <v>18</v>
      </c>
      <c r="B1038">
        <v>2018</v>
      </c>
      <c r="C1038" s="1">
        <v>44177</v>
      </c>
      <c r="D1038" t="s">
        <v>23</v>
      </c>
      <c r="E1038">
        <v>169058</v>
      </c>
      <c r="F1038">
        <v>5056750</v>
      </c>
      <c r="G1038">
        <v>3.34</v>
      </c>
    </row>
    <row r="1039" spans="1:7" x14ac:dyDescent="0.45">
      <c r="A1039" t="s">
        <v>19</v>
      </c>
      <c r="B1039">
        <v>2018</v>
      </c>
      <c r="C1039" s="1">
        <v>44177</v>
      </c>
      <c r="D1039" t="s">
        <v>23</v>
      </c>
      <c r="E1039">
        <v>26781</v>
      </c>
      <c r="F1039">
        <v>615077</v>
      </c>
      <c r="G1039">
        <v>4.3499999999999996</v>
      </c>
    </row>
    <row r="1040" spans="1:7" x14ac:dyDescent="0.45">
      <c r="A1040" t="s">
        <v>24</v>
      </c>
      <c r="B1040">
        <v>2018</v>
      </c>
      <c r="C1040" s="1">
        <v>44177</v>
      </c>
      <c r="D1040" t="s">
        <v>23</v>
      </c>
      <c r="E1040">
        <v>186779</v>
      </c>
      <c r="F1040">
        <v>3509161</v>
      </c>
      <c r="G1040">
        <v>5.32</v>
      </c>
    </row>
    <row r="1041" spans="1:7" x14ac:dyDescent="0.45">
      <c r="A1041" t="s">
        <v>20</v>
      </c>
      <c r="B1041">
        <v>2018</v>
      </c>
      <c r="C1041" s="1">
        <v>44177</v>
      </c>
      <c r="D1041" t="s">
        <v>23</v>
      </c>
      <c r="E1041">
        <v>727084</v>
      </c>
      <c r="F1041">
        <v>22899863</v>
      </c>
      <c r="G1041">
        <v>3.18</v>
      </c>
    </row>
    <row r="1042" spans="1:7" x14ac:dyDescent="0.45">
      <c r="A1042" t="s">
        <v>21</v>
      </c>
      <c r="B1042">
        <v>2018</v>
      </c>
      <c r="C1042" s="1">
        <v>44177</v>
      </c>
      <c r="D1042" t="s">
        <v>23</v>
      </c>
      <c r="E1042">
        <v>340924</v>
      </c>
      <c r="F1042">
        <v>7056421</v>
      </c>
      <c r="G1042">
        <v>4.83</v>
      </c>
    </row>
    <row r="1043" spans="1:7" x14ac:dyDescent="0.45">
      <c r="A1043" t="s">
        <v>22</v>
      </c>
      <c r="B1043">
        <v>2018</v>
      </c>
      <c r="C1043" s="1">
        <v>44177</v>
      </c>
      <c r="D1043" t="s">
        <v>23</v>
      </c>
      <c r="E1043">
        <v>168941</v>
      </c>
      <c r="F1043">
        <v>4829270</v>
      </c>
      <c r="G1043">
        <v>3.5</v>
      </c>
    </row>
    <row r="1044" spans="1:7" x14ac:dyDescent="0.45">
      <c r="A1044" t="s">
        <v>7</v>
      </c>
      <c r="B1044">
        <v>2018</v>
      </c>
      <c r="C1044" s="1">
        <v>44177</v>
      </c>
      <c r="D1044" t="s">
        <v>25</v>
      </c>
      <c r="E1044">
        <v>43674</v>
      </c>
      <c r="F1044">
        <v>590760</v>
      </c>
      <c r="G1044">
        <v>7.39</v>
      </c>
    </row>
    <row r="1045" spans="1:7" x14ac:dyDescent="0.45">
      <c r="A1045" t="s">
        <v>9</v>
      </c>
      <c r="B1045">
        <v>2018</v>
      </c>
      <c r="C1045" s="1">
        <v>44177</v>
      </c>
      <c r="D1045" t="s">
        <v>25</v>
      </c>
      <c r="E1045">
        <v>163161</v>
      </c>
      <c r="F1045">
        <v>2465297</v>
      </c>
      <c r="G1045">
        <v>6.62</v>
      </c>
    </row>
    <row r="1046" spans="1:7" x14ac:dyDescent="0.45">
      <c r="A1046" t="s">
        <v>10</v>
      </c>
      <c r="B1046">
        <v>2018</v>
      </c>
      <c r="C1046" s="1">
        <v>44177</v>
      </c>
      <c r="D1046" t="s">
        <v>25</v>
      </c>
      <c r="E1046">
        <v>414575</v>
      </c>
      <c r="F1046">
        <v>4715895</v>
      </c>
      <c r="G1046">
        <v>8.7899999999999991</v>
      </c>
    </row>
    <row r="1047" spans="1:7" x14ac:dyDescent="0.45">
      <c r="A1047" t="s">
        <v>11</v>
      </c>
      <c r="B1047">
        <v>2018</v>
      </c>
      <c r="C1047" s="1">
        <v>44177</v>
      </c>
      <c r="D1047" t="s">
        <v>25</v>
      </c>
      <c r="E1047">
        <v>194485</v>
      </c>
      <c r="F1047">
        <v>3019150</v>
      </c>
      <c r="G1047">
        <v>6.44</v>
      </c>
    </row>
    <row r="1048" spans="1:7" x14ac:dyDescent="0.45">
      <c r="A1048" t="s">
        <v>12</v>
      </c>
      <c r="B1048">
        <v>2018</v>
      </c>
      <c r="C1048" s="1">
        <v>44177</v>
      </c>
      <c r="D1048" t="s">
        <v>25</v>
      </c>
      <c r="E1048">
        <v>1601217</v>
      </c>
      <c r="F1048">
        <v>17980787</v>
      </c>
      <c r="G1048">
        <v>8.91</v>
      </c>
    </row>
    <row r="1049" spans="1:7" x14ac:dyDescent="0.45">
      <c r="A1049" t="s">
        <v>13</v>
      </c>
      <c r="B1049">
        <v>2018</v>
      </c>
      <c r="C1049" s="1">
        <v>44177</v>
      </c>
      <c r="D1049" t="s">
        <v>25</v>
      </c>
      <c r="E1049">
        <v>932724</v>
      </c>
      <c r="F1049">
        <v>10533371</v>
      </c>
      <c r="G1049">
        <v>8.85</v>
      </c>
    </row>
    <row r="1050" spans="1:7" x14ac:dyDescent="0.45">
      <c r="A1050" t="s">
        <v>14</v>
      </c>
      <c r="B1050">
        <v>2018</v>
      </c>
      <c r="C1050" s="1">
        <v>44177</v>
      </c>
      <c r="D1050" t="s">
        <v>25</v>
      </c>
      <c r="E1050">
        <v>162409</v>
      </c>
      <c r="F1050">
        <v>2364319</v>
      </c>
      <c r="G1050">
        <v>6.87</v>
      </c>
    </row>
    <row r="1051" spans="1:7" x14ac:dyDescent="0.45">
      <c r="A1051" t="s">
        <v>15</v>
      </c>
      <c r="B1051">
        <v>2018</v>
      </c>
      <c r="C1051" s="1">
        <v>44177</v>
      </c>
      <c r="D1051" t="s">
        <v>25</v>
      </c>
      <c r="E1051">
        <v>400536</v>
      </c>
      <c r="F1051">
        <v>3681254</v>
      </c>
      <c r="G1051">
        <v>10.88</v>
      </c>
    </row>
    <row r="1052" spans="1:7" x14ac:dyDescent="0.45">
      <c r="A1052" t="s">
        <v>17</v>
      </c>
      <c r="B1052">
        <v>2018</v>
      </c>
      <c r="C1052" s="1">
        <v>44177</v>
      </c>
      <c r="D1052" t="s">
        <v>25</v>
      </c>
      <c r="E1052">
        <v>373428</v>
      </c>
      <c r="F1052">
        <v>5844357</v>
      </c>
      <c r="G1052">
        <v>6.39</v>
      </c>
    </row>
    <row r="1053" spans="1:7" x14ac:dyDescent="0.45">
      <c r="A1053" t="s">
        <v>18</v>
      </c>
      <c r="B1053">
        <v>2018</v>
      </c>
      <c r="C1053" s="1">
        <v>44177</v>
      </c>
      <c r="D1053" t="s">
        <v>25</v>
      </c>
      <c r="E1053">
        <v>397930</v>
      </c>
      <c r="F1053">
        <v>5056750</v>
      </c>
      <c r="G1053">
        <v>7.87</v>
      </c>
    </row>
    <row r="1054" spans="1:7" x14ac:dyDescent="0.45">
      <c r="A1054" t="s">
        <v>19</v>
      </c>
      <c r="B1054">
        <v>2018</v>
      </c>
      <c r="C1054" s="1">
        <v>44177</v>
      </c>
      <c r="D1054" t="s">
        <v>25</v>
      </c>
      <c r="E1054">
        <v>67512</v>
      </c>
      <c r="F1054">
        <v>615077</v>
      </c>
      <c r="G1054">
        <v>10.98</v>
      </c>
    </row>
    <row r="1055" spans="1:7" x14ac:dyDescent="0.45">
      <c r="A1055" t="s">
        <v>24</v>
      </c>
      <c r="B1055">
        <v>2018</v>
      </c>
      <c r="C1055" s="1">
        <v>44177</v>
      </c>
      <c r="D1055" t="s">
        <v>25</v>
      </c>
      <c r="E1055">
        <v>299804</v>
      </c>
      <c r="F1055">
        <v>3509161</v>
      </c>
      <c r="G1055">
        <v>8.5399999999999991</v>
      </c>
    </row>
    <row r="1056" spans="1:7" x14ac:dyDescent="0.45">
      <c r="A1056" t="s">
        <v>20</v>
      </c>
      <c r="B1056">
        <v>2018</v>
      </c>
      <c r="C1056" s="1">
        <v>44177</v>
      </c>
      <c r="D1056" t="s">
        <v>25</v>
      </c>
      <c r="E1056">
        <v>2259871</v>
      </c>
      <c r="F1056">
        <v>22899863</v>
      </c>
      <c r="G1056">
        <v>9.8699999999999992</v>
      </c>
    </row>
    <row r="1057" spans="1:7" x14ac:dyDescent="0.45">
      <c r="A1057" t="s">
        <v>21</v>
      </c>
      <c r="B1057">
        <v>2018</v>
      </c>
      <c r="C1057" s="1">
        <v>44177</v>
      </c>
      <c r="D1057" t="s">
        <v>25</v>
      </c>
      <c r="E1057">
        <v>521033</v>
      </c>
      <c r="F1057">
        <v>7056421</v>
      </c>
      <c r="G1057">
        <v>7.38</v>
      </c>
    </row>
    <row r="1058" spans="1:7" x14ac:dyDescent="0.45">
      <c r="A1058" t="s">
        <v>7</v>
      </c>
      <c r="B1058">
        <v>2019</v>
      </c>
      <c r="C1058" s="1">
        <v>43831</v>
      </c>
      <c r="D1058" t="s">
        <v>8</v>
      </c>
      <c r="E1058">
        <v>46375</v>
      </c>
      <c r="F1058">
        <v>589481</v>
      </c>
      <c r="G1058">
        <v>7.87</v>
      </c>
    </row>
    <row r="1059" spans="1:7" x14ac:dyDescent="0.45">
      <c r="A1059" t="s">
        <v>9</v>
      </c>
      <c r="B1059">
        <v>2019</v>
      </c>
      <c r="C1059" s="1">
        <v>43831</v>
      </c>
      <c r="D1059" t="s">
        <v>8</v>
      </c>
      <c r="E1059">
        <v>143719</v>
      </c>
      <c r="F1059">
        <v>2476087</v>
      </c>
      <c r="G1059">
        <v>5.8</v>
      </c>
    </row>
    <row r="1060" spans="1:7" x14ac:dyDescent="0.45">
      <c r="A1060" t="s">
        <v>10</v>
      </c>
      <c r="B1060">
        <v>2019</v>
      </c>
      <c r="C1060" s="1">
        <v>43831</v>
      </c>
      <c r="D1060" t="s">
        <v>8</v>
      </c>
      <c r="E1060">
        <v>365585</v>
      </c>
      <c r="F1060">
        <v>4789291</v>
      </c>
      <c r="G1060">
        <v>7.63</v>
      </c>
    </row>
    <row r="1061" spans="1:7" x14ac:dyDescent="0.45">
      <c r="A1061" t="s">
        <v>11</v>
      </c>
      <c r="B1061">
        <v>2019</v>
      </c>
      <c r="C1061" s="1">
        <v>43831</v>
      </c>
      <c r="D1061" t="s">
        <v>8</v>
      </c>
      <c r="E1061">
        <v>252690</v>
      </c>
      <c r="F1061">
        <v>3019188</v>
      </c>
      <c r="G1061">
        <v>8.3699999999999992</v>
      </c>
    </row>
    <row r="1062" spans="1:7" x14ac:dyDescent="0.45">
      <c r="A1062" t="s">
        <v>12</v>
      </c>
      <c r="B1062">
        <v>2019</v>
      </c>
      <c r="C1062" s="1">
        <v>43831</v>
      </c>
      <c r="D1062" t="s">
        <v>8</v>
      </c>
      <c r="E1062">
        <v>1348697</v>
      </c>
      <c r="F1062">
        <v>18207522</v>
      </c>
      <c r="G1062">
        <v>7.41</v>
      </c>
    </row>
    <row r="1063" spans="1:7" x14ac:dyDescent="0.45">
      <c r="A1063" t="s">
        <v>13</v>
      </c>
      <c r="B1063">
        <v>2019</v>
      </c>
      <c r="C1063" s="1">
        <v>43831</v>
      </c>
      <c r="D1063" t="s">
        <v>8</v>
      </c>
      <c r="E1063">
        <v>461071</v>
      </c>
      <c r="F1063">
        <v>10512479</v>
      </c>
      <c r="G1063">
        <v>4.3899999999999997</v>
      </c>
    </row>
    <row r="1064" spans="1:7" x14ac:dyDescent="0.45">
      <c r="A1064" t="s">
        <v>14</v>
      </c>
      <c r="B1064">
        <v>2019</v>
      </c>
      <c r="C1064" s="1">
        <v>43831</v>
      </c>
      <c r="D1064" t="s">
        <v>8</v>
      </c>
      <c r="E1064">
        <v>166160</v>
      </c>
      <c r="F1064">
        <v>2371396</v>
      </c>
      <c r="G1064">
        <v>7.01</v>
      </c>
    </row>
    <row r="1065" spans="1:7" x14ac:dyDescent="0.45">
      <c r="A1065" t="s">
        <v>15</v>
      </c>
      <c r="B1065">
        <v>2019</v>
      </c>
      <c r="C1065" s="1">
        <v>43831</v>
      </c>
      <c r="D1065" t="s">
        <v>8</v>
      </c>
      <c r="E1065">
        <v>457488</v>
      </c>
      <c r="F1065">
        <v>3691561</v>
      </c>
      <c r="G1065">
        <v>12.39</v>
      </c>
    </row>
    <row r="1066" spans="1:7" x14ac:dyDescent="0.45">
      <c r="A1066" t="s">
        <v>16</v>
      </c>
      <c r="B1066">
        <v>2019</v>
      </c>
      <c r="C1066" s="1">
        <v>43831</v>
      </c>
      <c r="D1066" t="s">
        <v>8</v>
      </c>
      <c r="E1066">
        <v>239780</v>
      </c>
      <c r="F1066">
        <v>3799736</v>
      </c>
      <c r="G1066">
        <v>6.31</v>
      </c>
    </row>
    <row r="1067" spans="1:7" x14ac:dyDescent="0.45">
      <c r="A1067" t="s">
        <v>17</v>
      </c>
      <c r="B1067">
        <v>2019</v>
      </c>
      <c r="C1067" s="1">
        <v>43831</v>
      </c>
      <c r="D1067" t="s">
        <v>8</v>
      </c>
      <c r="E1067">
        <v>294265</v>
      </c>
      <c r="F1067">
        <v>5862386</v>
      </c>
      <c r="G1067">
        <v>5.0199999999999996</v>
      </c>
    </row>
    <row r="1068" spans="1:7" x14ac:dyDescent="0.45">
      <c r="A1068" t="s">
        <v>18</v>
      </c>
      <c r="B1068">
        <v>2019</v>
      </c>
      <c r="C1068" s="1">
        <v>43831</v>
      </c>
      <c r="D1068" t="s">
        <v>8</v>
      </c>
      <c r="E1068">
        <v>343266</v>
      </c>
      <c r="F1068">
        <v>5077875</v>
      </c>
      <c r="G1068">
        <v>6.76</v>
      </c>
    </row>
    <row r="1069" spans="1:7" x14ac:dyDescent="0.45">
      <c r="A1069" t="s">
        <v>19</v>
      </c>
      <c r="B1069">
        <v>2019</v>
      </c>
      <c r="C1069" s="1">
        <v>43831</v>
      </c>
      <c r="D1069" t="s">
        <v>8</v>
      </c>
      <c r="E1069">
        <v>53309</v>
      </c>
      <c r="F1069">
        <v>617880</v>
      </c>
      <c r="G1069">
        <v>8.6300000000000008</v>
      </c>
    </row>
    <row r="1070" spans="1:7" x14ac:dyDescent="0.45">
      <c r="A1070" t="s">
        <v>20</v>
      </c>
      <c r="B1070">
        <v>2019</v>
      </c>
      <c r="C1070" s="1">
        <v>43831</v>
      </c>
      <c r="D1070" t="s">
        <v>8</v>
      </c>
      <c r="E1070">
        <v>1776694</v>
      </c>
      <c r="F1070">
        <v>23257363</v>
      </c>
      <c r="G1070">
        <v>7.64</v>
      </c>
    </row>
    <row r="1071" spans="1:7" x14ac:dyDescent="0.45">
      <c r="A1071" t="s">
        <v>21</v>
      </c>
      <c r="B1071">
        <v>2019</v>
      </c>
      <c r="C1071" s="1">
        <v>43831</v>
      </c>
      <c r="D1071" t="s">
        <v>8</v>
      </c>
      <c r="E1071">
        <v>358265</v>
      </c>
      <c r="F1071">
        <v>7094962</v>
      </c>
      <c r="G1071">
        <v>5.05</v>
      </c>
    </row>
    <row r="1072" spans="1:7" x14ac:dyDescent="0.45">
      <c r="A1072" t="s">
        <v>22</v>
      </c>
      <c r="B1072">
        <v>2019</v>
      </c>
      <c r="C1072" s="1">
        <v>43831</v>
      </c>
      <c r="D1072" t="s">
        <v>8</v>
      </c>
      <c r="E1072">
        <v>608262</v>
      </c>
      <c r="F1072">
        <v>4851640</v>
      </c>
      <c r="G1072">
        <v>12.54</v>
      </c>
    </row>
    <row r="1073" spans="1:7" x14ac:dyDescent="0.45">
      <c r="A1073" t="s">
        <v>7</v>
      </c>
      <c r="B1073">
        <v>2019</v>
      </c>
      <c r="C1073" s="1">
        <v>43831</v>
      </c>
      <c r="D1073" t="s">
        <v>23</v>
      </c>
      <c r="E1073">
        <v>19064</v>
      </c>
      <c r="F1073">
        <v>589481</v>
      </c>
      <c r="G1073">
        <v>3.23</v>
      </c>
    </row>
    <row r="1074" spans="1:7" x14ac:dyDescent="0.45">
      <c r="A1074" t="s">
        <v>9</v>
      </c>
      <c r="B1074">
        <v>2019</v>
      </c>
      <c r="C1074" s="1">
        <v>43831</v>
      </c>
      <c r="D1074" t="s">
        <v>23</v>
      </c>
      <c r="E1074">
        <v>46574</v>
      </c>
      <c r="F1074">
        <v>2476087</v>
      </c>
      <c r="G1074">
        <v>1.88</v>
      </c>
    </row>
    <row r="1075" spans="1:7" x14ac:dyDescent="0.45">
      <c r="A1075" t="s">
        <v>10</v>
      </c>
      <c r="B1075">
        <v>2019</v>
      </c>
      <c r="C1075" s="1">
        <v>43831</v>
      </c>
      <c r="D1075" t="s">
        <v>23</v>
      </c>
      <c r="E1075">
        <v>163185</v>
      </c>
      <c r="F1075">
        <v>4789291</v>
      </c>
      <c r="G1075">
        <v>3.41</v>
      </c>
    </row>
    <row r="1076" spans="1:7" x14ac:dyDescent="0.45">
      <c r="A1076" t="s">
        <v>11</v>
      </c>
      <c r="B1076">
        <v>2019</v>
      </c>
      <c r="C1076" s="1">
        <v>43831</v>
      </c>
      <c r="D1076" t="s">
        <v>23</v>
      </c>
      <c r="E1076">
        <v>171703</v>
      </c>
      <c r="F1076">
        <v>3019188</v>
      </c>
      <c r="G1076">
        <v>5.69</v>
      </c>
    </row>
    <row r="1077" spans="1:7" x14ac:dyDescent="0.45">
      <c r="A1077" t="s">
        <v>12</v>
      </c>
      <c r="B1077">
        <v>2019</v>
      </c>
      <c r="C1077" s="1">
        <v>43831</v>
      </c>
      <c r="D1077" t="s">
        <v>23</v>
      </c>
      <c r="E1077">
        <v>819403</v>
      </c>
      <c r="F1077">
        <v>18207522</v>
      </c>
      <c r="G1077">
        <v>4.5</v>
      </c>
    </row>
    <row r="1078" spans="1:7" x14ac:dyDescent="0.45">
      <c r="A1078" t="s">
        <v>13</v>
      </c>
      <c r="B1078">
        <v>2019</v>
      </c>
      <c r="C1078" s="1">
        <v>43831</v>
      </c>
      <c r="D1078" t="s">
        <v>23</v>
      </c>
      <c r="E1078">
        <v>272966</v>
      </c>
      <c r="F1078">
        <v>10512479</v>
      </c>
      <c r="G1078">
        <v>2.6</v>
      </c>
    </row>
    <row r="1079" spans="1:7" x14ac:dyDescent="0.45">
      <c r="A1079" t="s">
        <v>15</v>
      </c>
      <c r="B1079">
        <v>2019</v>
      </c>
      <c r="C1079" s="1">
        <v>43831</v>
      </c>
      <c r="D1079" t="s">
        <v>23</v>
      </c>
      <c r="E1079">
        <v>123374</v>
      </c>
      <c r="F1079">
        <v>3691561</v>
      </c>
      <c r="G1079">
        <v>3.34</v>
      </c>
    </row>
    <row r="1080" spans="1:7" x14ac:dyDescent="0.45">
      <c r="A1080" t="s">
        <v>16</v>
      </c>
      <c r="B1080">
        <v>2019</v>
      </c>
      <c r="C1080" s="1">
        <v>43831</v>
      </c>
      <c r="D1080" t="s">
        <v>23</v>
      </c>
      <c r="E1080">
        <v>83765</v>
      </c>
      <c r="F1080">
        <v>3799736</v>
      </c>
      <c r="G1080">
        <v>2.2000000000000002</v>
      </c>
    </row>
    <row r="1081" spans="1:7" x14ac:dyDescent="0.45">
      <c r="A1081" t="s">
        <v>17</v>
      </c>
      <c r="B1081">
        <v>2019</v>
      </c>
      <c r="C1081" s="1">
        <v>43831</v>
      </c>
      <c r="D1081" t="s">
        <v>23</v>
      </c>
      <c r="E1081">
        <v>182800</v>
      </c>
      <c r="F1081">
        <v>5862386</v>
      </c>
      <c r="G1081">
        <v>3.12</v>
      </c>
    </row>
    <row r="1082" spans="1:7" x14ac:dyDescent="0.45">
      <c r="A1082" t="s">
        <v>18</v>
      </c>
      <c r="B1082">
        <v>2019</v>
      </c>
      <c r="C1082" s="1">
        <v>43831</v>
      </c>
      <c r="D1082" t="s">
        <v>23</v>
      </c>
      <c r="E1082">
        <v>166624</v>
      </c>
      <c r="F1082">
        <v>5077875</v>
      </c>
      <c r="G1082">
        <v>3.28</v>
      </c>
    </row>
    <row r="1083" spans="1:7" x14ac:dyDescent="0.45">
      <c r="A1083" t="s">
        <v>19</v>
      </c>
      <c r="B1083">
        <v>2019</v>
      </c>
      <c r="C1083" s="1">
        <v>43831</v>
      </c>
      <c r="D1083" t="s">
        <v>23</v>
      </c>
      <c r="E1083">
        <v>12441</v>
      </c>
      <c r="F1083">
        <v>617880</v>
      </c>
      <c r="G1083">
        <v>2.0099999999999998</v>
      </c>
    </row>
    <row r="1084" spans="1:7" x14ac:dyDescent="0.45">
      <c r="A1084" t="s">
        <v>24</v>
      </c>
      <c r="B1084">
        <v>2019</v>
      </c>
      <c r="C1084" s="1">
        <v>43831</v>
      </c>
      <c r="D1084" t="s">
        <v>23</v>
      </c>
      <c r="E1084">
        <v>195813</v>
      </c>
      <c r="F1084">
        <v>3547474</v>
      </c>
      <c r="G1084">
        <v>5.52</v>
      </c>
    </row>
    <row r="1085" spans="1:7" x14ac:dyDescent="0.45">
      <c r="A1085" t="s">
        <v>20</v>
      </c>
      <c r="B1085">
        <v>2019</v>
      </c>
      <c r="C1085" s="1">
        <v>43831</v>
      </c>
      <c r="D1085" t="s">
        <v>23</v>
      </c>
      <c r="E1085">
        <v>768781</v>
      </c>
      <c r="F1085">
        <v>23257363</v>
      </c>
      <c r="G1085">
        <v>3.31</v>
      </c>
    </row>
    <row r="1086" spans="1:7" x14ac:dyDescent="0.45">
      <c r="A1086" t="s">
        <v>21</v>
      </c>
      <c r="B1086">
        <v>2019</v>
      </c>
      <c r="C1086" s="1">
        <v>43831</v>
      </c>
      <c r="D1086" t="s">
        <v>23</v>
      </c>
      <c r="E1086">
        <v>270483</v>
      </c>
      <c r="F1086">
        <v>7094962</v>
      </c>
      <c r="G1086">
        <v>3.81</v>
      </c>
    </row>
    <row r="1087" spans="1:7" x14ac:dyDescent="0.45">
      <c r="A1087" t="s">
        <v>22</v>
      </c>
      <c r="B1087">
        <v>2019</v>
      </c>
      <c r="C1087" s="1">
        <v>43831</v>
      </c>
      <c r="D1087" t="s">
        <v>23</v>
      </c>
      <c r="E1087">
        <v>161231</v>
      </c>
      <c r="F1087">
        <v>4851640</v>
      </c>
      <c r="G1087">
        <v>3.32</v>
      </c>
    </row>
    <row r="1088" spans="1:7" x14ac:dyDescent="0.45">
      <c r="A1088" t="s">
        <v>7</v>
      </c>
      <c r="B1088">
        <v>2019</v>
      </c>
      <c r="C1088" s="1">
        <v>43831</v>
      </c>
      <c r="D1088" t="s">
        <v>25</v>
      </c>
      <c r="E1088">
        <v>39296</v>
      </c>
      <c r="F1088">
        <v>589481</v>
      </c>
      <c r="G1088">
        <v>6.67</v>
      </c>
    </row>
    <row r="1089" spans="1:7" x14ac:dyDescent="0.45">
      <c r="A1089" t="s">
        <v>9</v>
      </c>
      <c r="B1089">
        <v>2019</v>
      </c>
      <c r="C1089" s="1">
        <v>43831</v>
      </c>
      <c r="D1089" t="s">
        <v>25</v>
      </c>
      <c r="E1089">
        <v>116472</v>
      </c>
      <c r="F1089">
        <v>2476087</v>
      </c>
      <c r="G1089">
        <v>4.7</v>
      </c>
    </row>
    <row r="1090" spans="1:7" x14ac:dyDescent="0.45">
      <c r="A1090" t="s">
        <v>10</v>
      </c>
      <c r="B1090">
        <v>2019</v>
      </c>
      <c r="C1090" s="1">
        <v>43831</v>
      </c>
      <c r="D1090" t="s">
        <v>25</v>
      </c>
      <c r="E1090">
        <v>444159</v>
      </c>
      <c r="F1090">
        <v>4789291</v>
      </c>
      <c r="G1090">
        <v>9.27</v>
      </c>
    </row>
    <row r="1091" spans="1:7" x14ac:dyDescent="0.45">
      <c r="A1091" t="s">
        <v>11</v>
      </c>
      <c r="B1091">
        <v>2019</v>
      </c>
      <c r="C1091" s="1">
        <v>43831</v>
      </c>
      <c r="D1091" t="s">
        <v>25</v>
      </c>
      <c r="E1091">
        <v>194485</v>
      </c>
      <c r="F1091">
        <v>3019188</v>
      </c>
      <c r="G1091">
        <v>6.44</v>
      </c>
    </row>
    <row r="1092" spans="1:7" x14ac:dyDescent="0.45">
      <c r="A1092" t="s">
        <v>12</v>
      </c>
      <c r="B1092">
        <v>2019</v>
      </c>
      <c r="C1092" s="1">
        <v>43831</v>
      </c>
      <c r="D1092" t="s">
        <v>25</v>
      </c>
      <c r="E1092">
        <v>1464090</v>
      </c>
      <c r="F1092">
        <v>18207522</v>
      </c>
      <c r="G1092">
        <v>8.0399999999999991</v>
      </c>
    </row>
    <row r="1093" spans="1:7" x14ac:dyDescent="0.45">
      <c r="A1093" t="s">
        <v>13</v>
      </c>
      <c r="B1093">
        <v>2019</v>
      </c>
      <c r="C1093" s="1">
        <v>43831</v>
      </c>
      <c r="D1093" t="s">
        <v>25</v>
      </c>
      <c r="E1093">
        <v>704294</v>
      </c>
      <c r="F1093">
        <v>10512479</v>
      </c>
      <c r="G1093">
        <v>6.7</v>
      </c>
    </row>
    <row r="1094" spans="1:7" x14ac:dyDescent="0.45">
      <c r="A1094" t="s">
        <v>14</v>
      </c>
      <c r="B1094">
        <v>2019</v>
      </c>
      <c r="C1094" s="1">
        <v>43831</v>
      </c>
      <c r="D1094" t="s">
        <v>25</v>
      </c>
      <c r="E1094">
        <v>164025</v>
      </c>
      <c r="F1094">
        <v>2371396</v>
      </c>
      <c r="G1094">
        <v>6.92</v>
      </c>
    </row>
    <row r="1095" spans="1:7" x14ac:dyDescent="0.45">
      <c r="A1095" t="s">
        <v>15</v>
      </c>
      <c r="B1095">
        <v>2019</v>
      </c>
      <c r="C1095" s="1">
        <v>43831</v>
      </c>
      <c r="D1095" t="s">
        <v>25</v>
      </c>
      <c r="E1095">
        <v>222807</v>
      </c>
      <c r="F1095">
        <v>3691561</v>
      </c>
      <c r="G1095">
        <v>6.04</v>
      </c>
    </row>
    <row r="1096" spans="1:7" x14ac:dyDescent="0.45">
      <c r="A1096" t="s">
        <v>17</v>
      </c>
      <c r="B1096">
        <v>2019</v>
      </c>
      <c r="C1096" s="1">
        <v>43831</v>
      </c>
      <c r="D1096" t="s">
        <v>25</v>
      </c>
      <c r="E1096">
        <v>385288</v>
      </c>
      <c r="F1096">
        <v>5862386</v>
      </c>
      <c r="G1096">
        <v>6.57</v>
      </c>
    </row>
    <row r="1097" spans="1:7" x14ac:dyDescent="0.45">
      <c r="A1097" t="s">
        <v>18</v>
      </c>
      <c r="B1097">
        <v>2019</v>
      </c>
      <c r="C1097" s="1">
        <v>43831</v>
      </c>
      <c r="D1097" t="s">
        <v>25</v>
      </c>
      <c r="E1097">
        <v>383754</v>
      </c>
      <c r="F1097">
        <v>5077875</v>
      </c>
      <c r="G1097">
        <v>7.56</v>
      </c>
    </row>
    <row r="1098" spans="1:7" x14ac:dyDescent="0.45">
      <c r="A1098" t="s">
        <v>19</v>
      </c>
      <c r="B1098">
        <v>2019</v>
      </c>
      <c r="C1098" s="1">
        <v>43831</v>
      </c>
      <c r="D1098" t="s">
        <v>25</v>
      </c>
      <c r="E1098">
        <v>71521</v>
      </c>
      <c r="F1098">
        <v>617880</v>
      </c>
      <c r="G1098">
        <v>11.58</v>
      </c>
    </row>
    <row r="1099" spans="1:7" x14ac:dyDescent="0.45">
      <c r="A1099" t="s">
        <v>24</v>
      </c>
      <c r="B1099">
        <v>2019</v>
      </c>
      <c r="C1099" s="1">
        <v>43831</v>
      </c>
      <c r="D1099" t="s">
        <v>25</v>
      </c>
      <c r="E1099">
        <v>306465</v>
      </c>
      <c r="F1099">
        <v>3547474</v>
      </c>
      <c r="G1099">
        <v>8.64</v>
      </c>
    </row>
    <row r="1100" spans="1:7" x14ac:dyDescent="0.45">
      <c r="A1100" t="s">
        <v>20</v>
      </c>
      <c r="B1100">
        <v>2019</v>
      </c>
      <c r="C1100" s="1">
        <v>43831</v>
      </c>
      <c r="D1100" t="s">
        <v>25</v>
      </c>
      <c r="E1100">
        <v>2317403</v>
      </c>
      <c r="F1100">
        <v>23257363</v>
      </c>
      <c r="G1100">
        <v>9.9600000000000009</v>
      </c>
    </row>
    <row r="1101" spans="1:7" x14ac:dyDescent="0.45">
      <c r="A1101" t="s">
        <v>21</v>
      </c>
      <c r="B1101">
        <v>2019</v>
      </c>
      <c r="C1101" s="1">
        <v>43831</v>
      </c>
      <c r="D1101" t="s">
        <v>25</v>
      </c>
      <c r="E1101">
        <v>487984</v>
      </c>
      <c r="F1101">
        <v>7094962</v>
      </c>
      <c r="G1101">
        <v>6.88</v>
      </c>
    </row>
    <row r="1102" spans="1:7" x14ac:dyDescent="0.45">
      <c r="A1102" t="s">
        <v>7</v>
      </c>
      <c r="B1102">
        <v>2019</v>
      </c>
      <c r="C1102" s="1">
        <v>43863</v>
      </c>
      <c r="D1102" t="s">
        <v>8</v>
      </c>
      <c r="E1102">
        <v>49934</v>
      </c>
      <c r="F1102">
        <v>589481</v>
      </c>
      <c r="G1102">
        <v>8.4700000000000006</v>
      </c>
    </row>
    <row r="1103" spans="1:7" x14ac:dyDescent="0.45">
      <c r="A1103" t="s">
        <v>9</v>
      </c>
      <c r="B1103">
        <v>2019</v>
      </c>
      <c r="C1103" s="1">
        <v>43863</v>
      </c>
      <c r="D1103" t="s">
        <v>8</v>
      </c>
      <c r="E1103">
        <v>121047</v>
      </c>
      <c r="F1103">
        <v>2476087</v>
      </c>
      <c r="G1103">
        <v>4.8899999999999997</v>
      </c>
    </row>
    <row r="1104" spans="1:7" x14ac:dyDescent="0.45">
      <c r="A1104" t="s">
        <v>10</v>
      </c>
      <c r="B1104">
        <v>2019</v>
      </c>
      <c r="C1104" s="1">
        <v>43863</v>
      </c>
      <c r="D1104" t="s">
        <v>8</v>
      </c>
      <c r="E1104">
        <v>408740</v>
      </c>
      <c r="F1104">
        <v>4789291</v>
      </c>
      <c r="G1104">
        <v>8.5299999999999994</v>
      </c>
    </row>
    <row r="1105" spans="1:7" x14ac:dyDescent="0.45">
      <c r="A1105" t="s">
        <v>11</v>
      </c>
      <c r="B1105">
        <v>2019</v>
      </c>
      <c r="C1105" s="1">
        <v>43863</v>
      </c>
      <c r="D1105" t="s">
        <v>8</v>
      </c>
      <c r="E1105">
        <v>251946</v>
      </c>
      <c r="F1105">
        <v>3019188</v>
      </c>
      <c r="G1105">
        <v>8.34</v>
      </c>
    </row>
    <row r="1106" spans="1:7" x14ac:dyDescent="0.45">
      <c r="A1106" t="s">
        <v>12</v>
      </c>
      <c r="B1106">
        <v>2019</v>
      </c>
      <c r="C1106" s="1">
        <v>43863</v>
      </c>
      <c r="D1106" t="s">
        <v>8</v>
      </c>
      <c r="E1106">
        <v>1433429</v>
      </c>
      <c r="F1106">
        <v>18207522</v>
      </c>
      <c r="G1106">
        <v>7.87</v>
      </c>
    </row>
    <row r="1107" spans="1:7" x14ac:dyDescent="0.45">
      <c r="A1107" t="s">
        <v>13</v>
      </c>
      <c r="B1107">
        <v>2019</v>
      </c>
      <c r="C1107" s="1">
        <v>43863</v>
      </c>
      <c r="D1107" t="s">
        <v>8</v>
      </c>
      <c r="E1107">
        <v>634484</v>
      </c>
      <c r="F1107">
        <v>10512479</v>
      </c>
      <c r="G1107">
        <v>6.04</v>
      </c>
    </row>
    <row r="1108" spans="1:7" x14ac:dyDescent="0.45">
      <c r="A1108" t="s">
        <v>14</v>
      </c>
      <c r="B1108">
        <v>2019</v>
      </c>
      <c r="C1108" s="1">
        <v>43863</v>
      </c>
      <c r="D1108" t="s">
        <v>8</v>
      </c>
      <c r="E1108">
        <v>153918</v>
      </c>
      <c r="F1108">
        <v>2371396</v>
      </c>
      <c r="G1108">
        <v>6.49</v>
      </c>
    </row>
    <row r="1109" spans="1:7" x14ac:dyDescent="0.45">
      <c r="A1109" t="s">
        <v>15</v>
      </c>
      <c r="B1109">
        <v>2019</v>
      </c>
      <c r="C1109" s="1">
        <v>43863</v>
      </c>
      <c r="D1109" t="s">
        <v>8</v>
      </c>
      <c r="E1109">
        <v>198360</v>
      </c>
      <c r="F1109">
        <v>3691561</v>
      </c>
      <c r="G1109">
        <v>5.37</v>
      </c>
    </row>
    <row r="1110" spans="1:7" x14ac:dyDescent="0.45">
      <c r="A1110" t="s">
        <v>16</v>
      </c>
      <c r="B1110">
        <v>2019</v>
      </c>
      <c r="C1110" s="1">
        <v>43863</v>
      </c>
      <c r="D1110" t="s">
        <v>8</v>
      </c>
      <c r="E1110">
        <v>257729</v>
      </c>
      <c r="F1110">
        <v>3799736</v>
      </c>
      <c r="G1110">
        <v>6.78</v>
      </c>
    </row>
    <row r="1111" spans="1:7" x14ac:dyDescent="0.45">
      <c r="A1111" t="s">
        <v>17</v>
      </c>
      <c r="B1111">
        <v>2019</v>
      </c>
      <c r="C1111" s="1">
        <v>43863</v>
      </c>
      <c r="D1111" t="s">
        <v>8</v>
      </c>
      <c r="E1111">
        <v>350637</v>
      </c>
      <c r="F1111">
        <v>5862386</v>
      </c>
      <c r="G1111">
        <v>5.98</v>
      </c>
    </row>
    <row r="1112" spans="1:7" x14ac:dyDescent="0.45">
      <c r="A1112" t="s">
        <v>18</v>
      </c>
      <c r="B1112">
        <v>2019</v>
      </c>
      <c r="C1112" s="1">
        <v>43863</v>
      </c>
      <c r="D1112" t="s">
        <v>8</v>
      </c>
      <c r="E1112">
        <v>375449</v>
      </c>
      <c r="F1112">
        <v>5077875</v>
      </c>
      <c r="G1112">
        <v>7.39</v>
      </c>
    </row>
    <row r="1113" spans="1:7" x14ac:dyDescent="0.45">
      <c r="A1113" t="s">
        <v>19</v>
      </c>
      <c r="B1113">
        <v>2019</v>
      </c>
      <c r="C1113" s="1">
        <v>43863</v>
      </c>
      <c r="D1113" t="s">
        <v>8</v>
      </c>
      <c r="E1113">
        <v>62715</v>
      </c>
      <c r="F1113">
        <v>617880</v>
      </c>
      <c r="G1113">
        <v>10.15</v>
      </c>
    </row>
    <row r="1114" spans="1:7" x14ac:dyDescent="0.45">
      <c r="A1114" t="s">
        <v>20</v>
      </c>
      <c r="B1114">
        <v>2019</v>
      </c>
      <c r="C1114" s="1">
        <v>43863</v>
      </c>
      <c r="D1114" t="s">
        <v>8</v>
      </c>
      <c r="E1114">
        <v>1371692</v>
      </c>
      <c r="F1114">
        <v>23257363</v>
      </c>
      <c r="G1114">
        <v>5.9</v>
      </c>
    </row>
    <row r="1115" spans="1:7" x14ac:dyDescent="0.45">
      <c r="A1115" t="s">
        <v>21</v>
      </c>
      <c r="B1115">
        <v>2019</v>
      </c>
      <c r="C1115" s="1">
        <v>43863</v>
      </c>
      <c r="D1115" t="s">
        <v>8</v>
      </c>
      <c r="E1115">
        <v>361980</v>
      </c>
      <c r="F1115">
        <v>7094962</v>
      </c>
      <c r="G1115">
        <v>5.0999999999999996</v>
      </c>
    </row>
    <row r="1116" spans="1:7" x14ac:dyDescent="0.45">
      <c r="A1116" t="s">
        <v>22</v>
      </c>
      <c r="B1116">
        <v>2019</v>
      </c>
      <c r="C1116" s="1">
        <v>43863</v>
      </c>
      <c r="D1116" t="s">
        <v>8</v>
      </c>
      <c r="E1116">
        <v>408271</v>
      </c>
      <c r="F1116">
        <v>4851640</v>
      </c>
      <c r="G1116">
        <v>8.42</v>
      </c>
    </row>
    <row r="1117" spans="1:7" x14ac:dyDescent="0.45">
      <c r="A1117" t="s">
        <v>7</v>
      </c>
      <c r="B1117">
        <v>2019</v>
      </c>
      <c r="C1117" s="1">
        <v>43863</v>
      </c>
      <c r="D1117" t="s">
        <v>23</v>
      </c>
      <c r="E1117">
        <v>21549</v>
      </c>
      <c r="F1117">
        <v>589481</v>
      </c>
      <c r="G1117">
        <v>3.66</v>
      </c>
    </row>
    <row r="1118" spans="1:7" x14ac:dyDescent="0.45">
      <c r="A1118" t="s">
        <v>9</v>
      </c>
      <c r="B1118">
        <v>2019</v>
      </c>
      <c r="C1118" s="1">
        <v>43863</v>
      </c>
      <c r="D1118" t="s">
        <v>23</v>
      </c>
      <c r="E1118">
        <v>54572</v>
      </c>
      <c r="F1118">
        <v>2476087</v>
      </c>
      <c r="G1118">
        <v>2.2000000000000002</v>
      </c>
    </row>
    <row r="1119" spans="1:7" x14ac:dyDescent="0.45">
      <c r="A1119" t="s">
        <v>10</v>
      </c>
      <c r="B1119">
        <v>2019</v>
      </c>
      <c r="C1119" s="1">
        <v>43863</v>
      </c>
      <c r="D1119" t="s">
        <v>23</v>
      </c>
      <c r="E1119">
        <v>194764</v>
      </c>
      <c r="F1119">
        <v>4789291</v>
      </c>
      <c r="G1119">
        <v>4.07</v>
      </c>
    </row>
    <row r="1120" spans="1:7" x14ac:dyDescent="0.45">
      <c r="A1120" t="s">
        <v>11</v>
      </c>
      <c r="B1120">
        <v>2019</v>
      </c>
      <c r="C1120" s="1">
        <v>43863</v>
      </c>
      <c r="D1120" t="s">
        <v>23</v>
      </c>
      <c r="E1120">
        <v>125064</v>
      </c>
      <c r="F1120">
        <v>3019188</v>
      </c>
      <c r="G1120">
        <v>4.1399999999999997</v>
      </c>
    </row>
    <row r="1121" spans="1:7" x14ac:dyDescent="0.45">
      <c r="A1121" t="s">
        <v>12</v>
      </c>
      <c r="B1121">
        <v>2019</v>
      </c>
      <c r="C1121" s="1">
        <v>43863</v>
      </c>
      <c r="D1121" t="s">
        <v>23</v>
      </c>
      <c r="E1121">
        <v>819451</v>
      </c>
      <c r="F1121">
        <v>18207522</v>
      </c>
      <c r="G1121">
        <v>4.5</v>
      </c>
    </row>
    <row r="1122" spans="1:7" x14ac:dyDescent="0.45">
      <c r="A1122" t="s">
        <v>13</v>
      </c>
      <c r="B1122">
        <v>2019</v>
      </c>
      <c r="C1122" s="1">
        <v>43863</v>
      </c>
      <c r="D1122" t="s">
        <v>23</v>
      </c>
      <c r="E1122">
        <v>355060</v>
      </c>
      <c r="F1122">
        <v>10512479</v>
      </c>
      <c r="G1122">
        <v>3.38</v>
      </c>
    </row>
    <row r="1123" spans="1:7" x14ac:dyDescent="0.45">
      <c r="A1123" t="s">
        <v>15</v>
      </c>
      <c r="B1123">
        <v>2019</v>
      </c>
      <c r="C1123" s="1">
        <v>43863</v>
      </c>
      <c r="D1123" t="s">
        <v>23</v>
      </c>
      <c r="E1123">
        <v>56040</v>
      </c>
      <c r="F1123">
        <v>3691561</v>
      </c>
      <c r="G1123">
        <v>1.52</v>
      </c>
    </row>
    <row r="1124" spans="1:7" x14ac:dyDescent="0.45">
      <c r="A1124" t="s">
        <v>16</v>
      </c>
      <c r="B1124">
        <v>2019</v>
      </c>
      <c r="C1124" s="1">
        <v>43863</v>
      </c>
      <c r="D1124" t="s">
        <v>23</v>
      </c>
      <c r="E1124">
        <v>95026</v>
      </c>
      <c r="F1124">
        <v>3799736</v>
      </c>
      <c r="G1124">
        <v>2.5</v>
      </c>
    </row>
    <row r="1125" spans="1:7" x14ac:dyDescent="0.45">
      <c r="A1125" t="s">
        <v>17</v>
      </c>
      <c r="B1125">
        <v>2019</v>
      </c>
      <c r="C1125" s="1">
        <v>43863</v>
      </c>
      <c r="D1125" t="s">
        <v>23</v>
      </c>
      <c r="E1125">
        <v>239497</v>
      </c>
      <c r="F1125">
        <v>5862386</v>
      </c>
      <c r="G1125">
        <v>4.09</v>
      </c>
    </row>
    <row r="1126" spans="1:7" x14ac:dyDescent="0.45">
      <c r="A1126" t="s">
        <v>18</v>
      </c>
      <c r="B1126">
        <v>2019</v>
      </c>
      <c r="C1126" s="1">
        <v>43863</v>
      </c>
      <c r="D1126" t="s">
        <v>23</v>
      </c>
      <c r="E1126">
        <v>142300</v>
      </c>
      <c r="F1126">
        <v>5077875</v>
      </c>
      <c r="G1126">
        <v>2.8</v>
      </c>
    </row>
    <row r="1127" spans="1:7" x14ac:dyDescent="0.45">
      <c r="A1127" t="s">
        <v>19</v>
      </c>
      <c r="B1127">
        <v>2019</v>
      </c>
      <c r="C1127" s="1">
        <v>43863</v>
      </c>
      <c r="D1127" t="s">
        <v>23</v>
      </c>
      <c r="E1127">
        <v>13197</v>
      </c>
      <c r="F1127">
        <v>617880</v>
      </c>
      <c r="G1127">
        <v>2.14</v>
      </c>
    </row>
    <row r="1128" spans="1:7" x14ac:dyDescent="0.45">
      <c r="A1128" t="s">
        <v>24</v>
      </c>
      <c r="B1128">
        <v>2019</v>
      </c>
      <c r="C1128" s="1">
        <v>43863</v>
      </c>
      <c r="D1128" t="s">
        <v>23</v>
      </c>
      <c r="E1128">
        <v>148140</v>
      </c>
      <c r="F1128">
        <v>3547474</v>
      </c>
      <c r="G1128">
        <v>4.18</v>
      </c>
    </row>
    <row r="1129" spans="1:7" x14ac:dyDescent="0.45">
      <c r="A1129" t="s">
        <v>20</v>
      </c>
      <c r="B1129">
        <v>2019</v>
      </c>
      <c r="C1129" s="1">
        <v>43863</v>
      </c>
      <c r="D1129" t="s">
        <v>23</v>
      </c>
      <c r="E1129">
        <v>581968</v>
      </c>
      <c r="F1129">
        <v>23257363</v>
      </c>
      <c r="G1129">
        <v>2.5</v>
      </c>
    </row>
    <row r="1130" spans="1:7" x14ac:dyDescent="0.45">
      <c r="A1130" t="s">
        <v>21</v>
      </c>
      <c r="B1130">
        <v>2019</v>
      </c>
      <c r="C1130" s="1">
        <v>43863</v>
      </c>
      <c r="D1130" t="s">
        <v>23</v>
      </c>
      <c r="E1130">
        <v>257685</v>
      </c>
      <c r="F1130">
        <v>7094962</v>
      </c>
      <c r="G1130">
        <v>3.63</v>
      </c>
    </row>
    <row r="1131" spans="1:7" x14ac:dyDescent="0.45">
      <c r="A1131" t="s">
        <v>22</v>
      </c>
      <c r="B1131">
        <v>2019</v>
      </c>
      <c r="C1131" s="1">
        <v>43863</v>
      </c>
      <c r="D1131" t="s">
        <v>23</v>
      </c>
      <c r="E1131">
        <v>153921</v>
      </c>
      <c r="F1131">
        <v>4851640</v>
      </c>
      <c r="G1131">
        <v>3.17</v>
      </c>
    </row>
    <row r="1132" spans="1:7" x14ac:dyDescent="0.45">
      <c r="A1132" t="s">
        <v>7</v>
      </c>
      <c r="B1132">
        <v>2019</v>
      </c>
      <c r="C1132" s="1">
        <v>43863</v>
      </c>
      <c r="D1132" t="s">
        <v>25</v>
      </c>
      <c r="E1132">
        <v>35928</v>
      </c>
      <c r="F1132">
        <v>589481</v>
      </c>
      <c r="G1132">
        <v>6.09</v>
      </c>
    </row>
    <row r="1133" spans="1:7" x14ac:dyDescent="0.45">
      <c r="A1133" t="s">
        <v>9</v>
      </c>
      <c r="B1133">
        <v>2019</v>
      </c>
      <c r="C1133" s="1">
        <v>43863</v>
      </c>
      <c r="D1133" t="s">
        <v>25</v>
      </c>
      <c r="E1133">
        <v>169511</v>
      </c>
      <c r="F1133">
        <v>2476087</v>
      </c>
      <c r="G1133">
        <v>6.85</v>
      </c>
    </row>
    <row r="1134" spans="1:7" x14ac:dyDescent="0.45">
      <c r="A1134" t="s">
        <v>10</v>
      </c>
      <c r="B1134">
        <v>2019</v>
      </c>
      <c r="C1134" s="1">
        <v>43863</v>
      </c>
      <c r="D1134" t="s">
        <v>25</v>
      </c>
      <c r="E1134">
        <v>354141</v>
      </c>
      <c r="F1134">
        <v>4789291</v>
      </c>
      <c r="G1134">
        <v>7.39</v>
      </c>
    </row>
    <row r="1135" spans="1:7" x14ac:dyDescent="0.45">
      <c r="A1135" t="s">
        <v>11</v>
      </c>
      <c r="B1135">
        <v>2019</v>
      </c>
      <c r="C1135" s="1">
        <v>43863</v>
      </c>
      <c r="D1135" t="s">
        <v>25</v>
      </c>
      <c r="E1135">
        <v>146445</v>
      </c>
      <c r="F1135">
        <v>3019188</v>
      </c>
      <c r="G1135">
        <v>4.8499999999999996</v>
      </c>
    </row>
    <row r="1136" spans="1:7" x14ac:dyDescent="0.45">
      <c r="A1136" t="s">
        <v>12</v>
      </c>
      <c r="B1136">
        <v>2019</v>
      </c>
      <c r="C1136" s="1">
        <v>43863</v>
      </c>
      <c r="D1136" t="s">
        <v>25</v>
      </c>
      <c r="E1136">
        <v>1430314</v>
      </c>
      <c r="F1136">
        <v>18207522</v>
      </c>
      <c r="G1136">
        <v>7.86</v>
      </c>
    </row>
    <row r="1137" spans="1:7" x14ac:dyDescent="0.45">
      <c r="A1137" t="s">
        <v>13</v>
      </c>
      <c r="B1137">
        <v>2019</v>
      </c>
      <c r="C1137" s="1">
        <v>43863</v>
      </c>
      <c r="D1137" t="s">
        <v>25</v>
      </c>
      <c r="E1137">
        <v>731374</v>
      </c>
      <c r="F1137">
        <v>10512479</v>
      </c>
      <c r="G1137">
        <v>6.96</v>
      </c>
    </row>
    <row r="1138" spans="1:7" x14ac:dyDescent="0.45">
      <c r="A1138" t="s">
        <v>14</v>
      </c>
      <c r="B1138">
        <v>2019</v>
      </c>
      <c r="C1138" s="1">
        <v>43863</v>
      </c>
      <c r="D1138" t="s">
        <v>25</v>
      </c>
      <c r="E1138">
        <v>181808</v>
      </c>
      <c r="F1138">
        <v>2371396</v>
      </c>
      <c r="G1138">
        <v>7.67</v>
      </c>
    </row>
    <row r="1139" spans="1:7" x14ac:dyDescent="0.45">
      <c r="A1139" t="s">
        <v>15</v>
      </c>
      <c r="B1139">
        <v>2019</v>
      </c>
      <c r="C1139" s="1">
        <v>43863</v>
      </c>
      <c r="D1139" t="s">
        <v>25</v>
      </c>
      <c r="E1139">
        <v>114295</v>
      </c>
      <c r="F1139">
        <v>3691561</v>
      </c>
      <c r="G1139">
        <v>3.1</v>
      </c>
    </row>
    <row r="1140" spans="1:7" x14ac:dyDescent="0.45">
      <c r="A1140" t="s">
        <v>17</v>
      </c>
      <c r="B1140">
        <v>2019</v>
      </c>
      <c r="C1140" s="1">
        <v>43863</v>
      </c>
      <c r="D1140" t="s">
        <v>25</v>
      </c>
      <c r="E1140">
        <v>340307</v>
      </c>
      <c r="F1140">
        <v>5862386</v>
      </c>
      <c r="G1140">
        <v>5.8</v>
      </c>
    </row>
    <row r="1141" spans="1:7" x14ac:dyDescent="0.45">
      <c r="A1141" t="s">
        <v>18</v>
      </c>
      <c r="B1141">
        <v>2019</v>
      </c>
      <c r="C1141" s="1">
        <v>43863</v>
      </c>
      <c r="D1141" t="s">
        <v>25</v>
      </c>
      <c r="E1141">
        <v>173980</v>
      </c>
      <c r="F1141">
        <v>5077875</v>
      </c>
      <c r="G1141">
        <v>3.43</v>
      </c>
    </row>
    <row r="1142" spans="1:7" x14ac:dyDescent="0.45">
      <c r="A1142" t="s">
        <v>19</v>
      </c>
      <c r="B1142">
        <v>2019</v>
      </c>
      <c r="C1142" s="1">
        <v>43863</v>
      </c>
      <c r="D1142" t="s">
        <v>25</v>
      </c>
      <c r="E1142">
        <v>56110</v>
      </c>
      <c r="F1142">
        <v>617880</v>
      </c>
      <c r="G1142">
        <v>9.08</v>
      </c>
    </row>
    <row r="1143" spans="1:7" x14ac:dyDescent="0.45">
      <c r="A1143" t="s">
        <v>24</v>
      </c>
      <c r="B1143">
        <v>2019</v>
      </c>
      <c r="C1143" s="1">
        <v>43863</v>
      </c>
      <c r="D1143" t="s">
        <v>25</v>
      </c>
      <c r="E1143">
        <v>292047</v>
      </c>
      <c r="F1143">
        <v>3547474</v>
      </c>
      <c r="G1143">
        <v>8.23</v>
      </c>
    </row>
    <row r="1144" spans="1:7" x14ac:dyDescent="0.45">
      <c r="A1144" t="s">
        <v>20</v>
      </c>
      <c r="B1144">
        <v>2019</v>
      </c>
      <c r="C1144" s="1">
        <v>43863</v>
      </c>
      <c r="D1144" t="s">
        <v>25</v>
      </c>
      <c r="E1144">
        <v>1965981</v>
      </c>
      <c r="F1144">
        <v>23257363</v>
      </c>
      <c r="G1144">
        <v>8.4499999999999993</v>
      </c>
    </row>
    <row r="1145" spans="1:7" x14ac:dyDescent="0.45">
      <c r="A1145" t="s">
        <v>21</v>
      </c>
      <c r="B1145">
        <v>2019</v>
      </c>
      <c r="C1145" s="1">
        <v>43863</v>
      </c>
      <c r="D1145" t="s">
        <v>25</v>
      </c>
      <c r="E1145">
        <v>434430</v>
      </c>
      <c r="F1145">
        <v>7094962</v>
      </c>
      <c r="G1145">
        <v>6.12</v>
      </c>
    </row>
    <row r="1146" spans="1:7" x14ac:dyDescent="0.45">
      <c r="A1146" t="s">
        <v>7</v>
      </c>
      <c r="B1146">
        <v>2019</v>
      </c>
      <c r="C1146" s="1">
        <v>43893</v>
      </c>
      <c r="D1146" t="s">
        <v>8</v>
      </c>
      <c r="E1146">
        <v>60900</v>
      </c>
      <c r="F1146">
        <v>589481</v>
      </c>
      <c r="G1146">
        <v>10.33</v>
      </c>
    </row>
    <row r="1147" spans="1:7" x14ac:dyDescent="0.45">
      <c r="A1147" t="s">
        <v>9</v>
      </c>
      <c r="B1147">
        <v>2019</v>
      </c>
      <c r="C1147" s="1">
        <v>43893</v>
      </c>
      <c r="D1147" t="s">
        <v>8</v>
      </c>
      <c r="E1147">
        <v>142334</v>
      </c>
      <c r="F1147">
        <v>2476087</v>
      </c>
      <c r="G1147">
        <v>5.75</v>
      </c>
    </row>
    <row r="1148" spans="1:7" x14ac:dyDescent="0.45">
      <c r="A1148" t="s">
        <v>10</v>
      </c>
      <c r="B1148">
        <v>2019</v>
      </c>
      <c r="C1148" s="1">
        <v>43893</v>
      </c>
      <c r="D1148" t="s">
        <v>8</v>
      </c>
      <c r="E1148">
        <v>484692</v>
      </c>
      <c r="F1148">
        <v>4789291</v>
      </c>
      <c r="G1148">
        <v>10.119999999999999</v>
      </c>
    </row>
    <row r="1149" spans="1:7" x14ac:dyDescent="0.45">
      <c r="A1149" t="s">
        <v>11</v>
      </c>
      <c r="B1149">
        <v>2019</v>
      </c>
      <c r="C1149" s="1">
        <v>43893</v>
      </c>
      <c r="D1149" t="s">
        <v>8</v>
      </c>
      <c r="E1149">
        <v>229812</v>
      </c>
      <c r="F1149">
        <v>3019188</v>
      </c>
      <c r="G1149">
        <v>7.61</v>
      </c>
    </row>
    <row r="1150" spans="1:7" x14ac:dyDescent="0.45">
      <c r="A1150" t="s">
        <v>12</v>
      </c>
      <c r="B1150">
        <v>2019</v>
      </c>
      <c r="C1150" s="1">
        <v>43893</v>
      </c>
      <c r="D1150" t="s">
        <v>8</v>
      </c>
      <c r="E1150">
        <v>1875541</v>
      </c>
      <c r="F1150">
        <v>18207522</v>
      </c>
      <c r="G1150">
        <v>10.3</v>
      </c>
    </row>
    <row r="1151" spans="1:7" x14ac:dyDescent="0.45">
      <c r="A1151" t="s">
        <v>13</v>
      </c>
      <c r="B1151">
        <v>2019</v>
      </c>
      <c r="C1151" s="1">
        <v>43893</v>
      </c>
      <c r="D1151" t="s">
        <v>8</v>
      </c>
      <c r="E1151">
        <v>715210</v>
      </c>
      <c r="F1151">
        <v>10512479</v>
      </c>
      <c r="G1151">
        <v>6.8</v>
      </c>
    </row>
    <row r="1152" spans="1:7" x14ac:dyDescent="0.45">
      <c r="A1152" t="s">
        <v>14</v>
      </c>
      <c r="B1152">
        <v>2019</v>
      </c>
      <c r="C1152" s="1">
        <v>43893</v>
      </c>
      <c r="D1152" t="s">
        <v>8</v>
      </c>
      <c r="E1152">
        <v>142960</v>
      </c>
      <c r="F1152">
        <v>2371396</v>
      </c>
      <c r="G1152">
        <v>6.03</v>
      </c>
    </row>
    <row r="1153" spans="1:7" x14ac:dyDescent="0.45">
      <c r="A1153" t="s">
        <v>15</v>
      </c>
      <c r="B1153">
        <v>2019</v>
      </c>
      <c r="C1153" s="1">
        <v>43893</v>
      </c>
      <c r="D1153" t="s">
        <v>8</v>
      </c>
      <c r="E1153">
        <v>216031</v>
      </c>
      <c r="F1153">
        <v>3691561</v>
      </c>
      <c r="G1153">
        <v>5.85</v>
      </c>
    </row>
    <row r="1154" spans="1:7" x14ac:dyDescent="0.45">
      <c r="A1154" t="s">
        <v>16</v>
      </c>
      <c r="B1154">
        <v>2019</v>
      </c>
      <c r="C1154" s="1">
        <v>43893</v>
      </c>
      <c r="D1154" t="s">
        <v>8</v>
      </c>
      <c r="E1154">
        <v>263867</v>
      </c>
      <c r="F1154">
        <v>3799736</v>
      </c>
      <c r="G1154">
        <v>6.94</v>
      </c>
    </row>
    <row r="1155" spans="1:7" x14ac:dyDescent="0.45">
      <c r="A1155" t="s">
        <v>17</v>
      </c>
      <c r="B1155">
        <v>2019</v>
      </c>
      <c r="C1155" s="1">
        <v>43893</v>
      </c>
      <c r="D1155" t="s">
        <v>8</v>
      </c>
      <c r="E1155">
        <v>451031</v>
      </c>
      <c r="F1155">
        <v>5862386</v>
      </c>
      <c r="G1155">
        <v>7.69</v>
      </c>
    </row>
    <row r="1156" spans="1:7" x14ac:dyDescent="0.45">
      <c r="A1156" t="s">
        <v>18</v>
      </c>
      <c r="B1156">
        <v>2019</v>
      </c>
      <c r="C1156" s="1">
        <v>43893</v>
      </c>
      <c r="D1156" t="s">
        <v>8</v>
      </c>
      <c r="E1156">
        <v>438535</v>
      </c>
      <c r="F1156">
        <v>5077875</v>
      </c>
      <c r="G1156">
        <v>8.64</v>
      </c>
    </row>
    <row r="1157" spans="1:7" x14ac:dyDescent="0.45">
      <c r="A1157" t="s">
        <v>19</v>
      </c>
      <c r="B1157">
        <v>2019</v>
      </c>
      <c r="C1157" s="1">
        <v>43893</v>
      </c>
      <c r="D1157" t="s">
        <v>8</v>
      </c>
      <c r="E1157">
        <v>63494</v>
      </c>
      <c r="F1157">
        <v>617880</v>
      </c>
      <c r="G1157">
        <v>10.28</v>
      </c>
    </row>
    <row r="1158" spans="1:7" x14ac:dyDescent="0.45">
      <c r="A1158" t="s">
        <v>20</v>
      </c>
      <c r="B1158">
        <v>2019</v>
      </c>
      <c r="C1158" s="1">
        <v>43893</v>
      </c>
      <c r="D1158" t="s">
        <v>8</v>
      </c>
      <c r="E1158">
        <v>1231361</v>
      </c>
      <c r="F1158">
        <v>23257363</v>
      </c>
      <c r="G1158">
        <v>5.29</v>
      </c>
    </row>
    <row r="1159" spans="1:7" x14ac:dyDescent="0.45">
      <c r="A1159" t="s">
        <v>21</v>
      </c>
      <c r="B1159">
        <v>2019</v>
      </c>
      <c r="C1159" s="1">
        <v>43893</v>
      </c>
      <c r="D1159" t="s">
        <v>8</v>
      </c>
      <c r="E1159">
        <v>413413</v>
      </c>
      <c r="F1159">
        <v>7094962</v>
      </c>
      <c r="G1159">
        <v>5.83</v>
      </c>
    </row>
    <row r="1160" spans="1:7" x14ac:dyDescent="0.45">
      <c r="A1160" t="s">
        <v>22</v>
      </c>
      <c r="B1160">
        <v>2019</v>
      </c>
      <c r="C1160" s="1">
        <v>43893</v>
      </c>
      <c r="D1160" t="s">
        <v>8</v>
      </c>
      <c r="E1160">
        <v>450865</v>
      </c>
      <c r="F1160">
        <v>4851640</v>
      </c>
      <c r="G1160">
        <v>9.2899999999999991</v>
      </c>
    </row>
    <row r="1161" spans="1:7" x14ac:dyDescent="0.45">
      <c r="A1161" t="s">
        <v>7</v>
      </c>
      <c r="B1161">
        <v>2019</v>
      </c>
      <c r="C1161" s="1">
        <v>43893</v>
      </c>
      <c r="D1161" t="s">
        <v>23</v>
      </c>
      <c r="E1161">
        <v>23356</v>
      </c>
      <c r="F1161">
        <v>589481</v>
      </c>
      <c r="G1161">
        <v>3.96</v>
      </c>
    </row>
    <row r="1162" spans="1:7" x14ac:dyDescent="0.45">
      <c r="A1162" t="s">
        <v>9</v>
      </c>
      <c r="B1162">
        <v>2019</v>
      </c>
      <c r="C1162" s="1">
        <v>43893</v>
      </c>
      <c r="D1162" t="s">
        <v>23</v>
      </c>
      <c r="E1162">
        <v>45884</v>
      </c>
      <c r="F1162">
        <v>2476087</v>
      </c>
      <c r="G1162">
        <v>1.85</v>
      </c>
    </row>
    <row r="1163" spans="1:7" x14ac:dyDescent="0.45">
      <c r="A1163" t="s">
        <v>10</v>
      </c>
      <c r="B1163">
        <v>2019</v>
      </c>
      <c r="C1163" s="1">
        <v>43893</v>
      </c>
      <c r="D1163" t="s">
        <v>23</v>
      </c>
      <c r="E1163">
        <v>188030</v>
      </c>
      <c r="F1163">
        <v>4789291</v>
      </c>
      <c r="G1163">
        <v>3.93</v>
      </c>
    </row>
    <row r="1164" spans="1:7" x14ac:dyDescent="0.45">
      <c r="A1164" t="s">
        <v>11</v>
      </c>
      <c r="B1164">
        <v>2019</v>
      </c>
      <c r="C1164" s="1">
        <v>43893</v>
      </c>
      <c r="D1164" t="s">
        <v>23</v>
      </c>
      <c r="E1164">
        <v>143239</v>
      </c>
      <c r="F1164">
        <v>3019188</v>
      </c>
      <c r="G1164">
        <v>4.74</v>
      </c>
    </row>
    <row r="1165" spans="1:7" x14ac:dyDescent="0.45">
      <c r="A1165" t="s">
        <v>12</v>
      </c>
      <c r="B1165">
        <v>2019</v>
      </c>
      <c r="C1165" s="1">
        <v>43893</v>
      </c>
      <c r="D1165" t="s">
        <v>23</v>
      </c>
      <c r="E1165">
        <v>825764</v>
      </c>
      <c r="F1165">
        <v>18207522</v>
      </c>
      <c r="G1165">
        <v>4.54</v>
      </c>
    </row>
    <row r="1166" spans="1:7" x14ac:dyDescent="0.45">
      <c r="A1166" t="s">
        <v>13</v>
      </c>
      <c r="B1166">
        <v>2019</v>
      </c>
      <c r="C1166" s="1">
        <v>43893</v>
      </c>
      <c r="D1166" t="s">
        <v>23</v>
      </c>
      <c r="E1166">
        <v>353356</v>
      </c>
      <c r="F1166">
        <v>10512479</v>
      </c>
      <c r="G1166">
        <v>3.36</v>
      </c>
    </row>
    <row r="1167" spans="1:7" x14ac:dyDescent="0.45">
      <c r="A1167" t="s">
        <v>15</v>
      </c>
      <c r="B1167">
        <v>2019</v>
      </c>
      <c r="C1167" s="1">
        <v>43893</v>
      </c>
      <c r="D1167" t="s">
        <v>23</v>
      </c>
      <c r="E1167">
        <v>60431</v>
      </c>
      <c r="F1167">
        <v>3691561</v>
      </c>
      <c r="G1167">
        <v>1.64</v>
      </c>
    </row>
    <row r="1168" spans="1:7" x14ac:dyDescent="0.45">
      <c r="A1168" t="s">
        <v>16</v>
      </c>
      <c r="B1168">
        <v>2019</v>
      </c>
      <c r="C1168" s="1">
        <v>43893</v>
      </c>
      <c r="D1168" t="s">
        <v>23</v>
      </c>
      <c r="E1168">
        <v>85856</v>
      </c>
      <c r="F1168">
        <v>3799736</v>
      </c>
      <c r="G1168">
        <v>2.2599999999999998</v>
      </c>
    </row>
    <row r="1169" spans="1:7" x14ac:dyDescent="0.45">
      <c r="A1169" t="s">
        <v>17</v>
      </c>
      <c r="B1169">
        <v>2019</v>
      </c>
      <c r="C1169" s="1">
        <v>43893</v>
      </c>
      <c r="D1169" t="s">
        <v>23</v>
      </c>
      <c r="E1169">
        <v>254419</v>
      </c>
      <c r="F1169">
        <v>5862386</v>
      </c>
      <c r="G1169">
        <v>4.34</v>
      </c>
    </row>
    <row r="1170" spans="1:7" x14ac:dyDescent="0.45">
      <c r="A1170" t="s">
        <v>18</v>
      </c>
      <c r="B1170">
        <v>2019</v>
      </c>
      <c r="C1170" s="1">
        <v>43893</v>
      </c>
      <c r="D1170" t="s">
        <v>23</v>
      </c>
      <c r="E1170">
        <v>157173</v>
      </c>
      <c r="F1170">
        <v>5077875</v>
      </c>
      <c r="G1170">
        <v>3.1</v>
      </c>
    </row>
    <row r="1171" spans="1:7" x14ac:dyDescent="0.45">
      <c r="A1171" t="s">
        <v>19</v>
      </c>
      <c r="B1171">
        <v>2019</v>
      </c>
      <c r="C1171" s="1">
        <v>43893</v>
      </c>
      <c r="D1171" t="s">
        <v>23</v>
      </c>
      <c r="E1171">
        <v>14730</v>
      </c>
      <c r="F1171">
        <v>617880</v>
      </c>
      <c r="G1171">
        <v>2.38</v>
      </c>
    </row>
    <row r="1172" spans="1:7" x14ac:dyDescent="0.45">
      <c r="A1172" t="s">
        <v>24</v>
      </c>
      <c r="B1172">
        <v>2019</v>
      </c>
      <c r="C1172" s="1">
        <v>43893</v>
      </c>
      <c r="D1172" t="s">
        <v>23</v>
      </c>
      <c r="E1172">
        <v>103744</v>
      </c>
      <c r="F1172">
        <v>3547474</v>
      </c>
      <c r="G1172">
        <v>2.92</v>
      </c>
    </row>
    <row r="1173" spans="1:7" x14ac:dyDescent="0.45">
      <c r="A1173" t="s">
        <v>20</v>
      </c>
      <c r="B1173">
        <v>2019</v>
      </c>
      <c r="C1173" s="1">
        <v>43893</v>
      </c>
      <c r="D1173" t="s">
        <v>23</v>
      </c>
      <c r="E1173">
        <v>591739</v>
      </c>
      <c r="F1173">
        <v>23257363</v>
      </c>
      <c r="G1173">
        <v>2.54</v>
      </c>
    </row>
    <row r="1174" spans="1:7" x14ac:dyDescent="0.45">
      <c r="A1174" t="s">
        <v>21</v>
      </c>
      <c r="B1174">
        <v>2019</v>
      </c>
      <c r="C1174" s="1">
        <v>43893</v>
      </c>
      <c r="D1174" t="s">
        <v>23</v>
      </c>
      <c r="E1174">
        <v>261211</v>
      </c>
      <c r="F1174">
        <v>7094962</v>
      </c>
      <c r="G1174">
        <v>3.68</v>
      </c>
    </row>
    <row r="1175" spans="1:7" x14ac:dyDescent="0.45">
      <c r="A1175" t="s">
        <v>22</v>
      </c>
      <c r="B1175">
        <v>2019</v>
      </c>
      <c r="C1175" s="1">
        <v>43893</v>
      </c>
      <c r="D1175" t="s">
        <v>23</v>
      </c>
      <c r="E1175">
        <v>116555</v>
      </c>
      <c r="F1175">
        <v>4851640</v>
      </c>
      <c r="G1175">
        <v>2.4</v>
      </c>
    </row>
    <row r="1176" spans="1:7" x14ac:dyDescent="0.45">
      <c r="A1176" t="s">
        <v>7</v>
      </c>
      <c r="B1176">
        <v>2019</v>
      </c>
      <c r="C1176" s="1">
        <v>43893</v>
      </c>
      <c r="D1176" t="s">
        <v>25</v>
      </c>
      <c r="E1176">
        <v>44638</v>
      </c>
      <c r="F1176">
        <v>589481</v>
      </c>
      <c r="G1176">
        <v>7.57</v>
      </c>
    </row>
    <row r="1177" spans="1:7" x14ac:dyDescent="0.45">
      <c r="A1177" t="s">
        <v>9</v>
      </c>
      <c r="B1177">
        <v>2019</v>
      </c>
      <c r="C1177" s="1">
        <v>43893</v>
      </c>
      <c r="D1177" t="s">
        <v>25</v>
      </c>
      <c r="E1177">
        <v>150820</v>
      </c>
      <c r="F1177">
        <v>2476087</v>
      </c>
      <c r="G1177">
        <v>6.09</v>
      </c>
    </row>
    <row r="1178" spans="1:7" x14ac:dyDescent="0.45">
      <c r="A1178" t="s">
        <v>10</v>
      </c>
      <c r="B1178">
        <v>2019</v>
      </c>
      <c r="C1178" s="1">
        <v>43893</v>
      </c>
      <c r="D1178" t="s">
        <v>25</v>
      </c>
      <c r="E1178">
        <v>411489</v>
      </c>
      <c r="F1178">
        <v>4789291</v>
      </c>
      <c r="G1178">
        <v>8.59</v>
      </c>
    </row>
    <row r="1179" spans="1:7" x14ac:dyDescent="0.45">
      <c r="A1179" t="s">
        <v>11</v>
      </c>
      <c r="B1179">
        <v>2019</v>
      </c>
      <c r="C1179" s="1">
        <v>43893</v>
      </c>
      <c r="D1179" t="s">
        <v>25</v>
      </c>
      <c r="E1179">
        <v>175885</v>
      </c>
      <c r="F1179">
        <v>3019188</v>
      </c>
      <c r="G1179">
        <v>5.83</v>
      </c>
    </row>
    <row r="1180" spans="1:7" x14ac:dyDescent="0.45">
      <c r="A1180" t="s">
        <v>12</v>
      </c>
      <c r="B1180">
        <v>2019</v>
      </c>
      <c r="C1180" s="1">
        <v>43893</v>
      </c>
      <c r="D1180" t="s">
        <v>25</v>
      </c>
      <c r="E1180">
        <v>1725195</v>
      </c>
      <c r="F1180">
        <v>18207522</v>
      </c>
      <c r="G1180">
        <v>9.48</v>
      </c>
    </row>
    <row r="1181" spans="1:7" x14ac:dyDescent="0.45">
      <c r="A1181" t="s">
        <v>13</v>
      </c>
      <c r="B1181">
        <v>2019</v>
      </c>
      <c r="C1181" s="1">
        <v>43893</v>
      </c>
      <c r="D1181" t="s">
        <v>25</v>
      </c>
      <c r="E1181">
        <v>831161</v>
      </c>
      <c r="F1181">
        <v>10512479</v>
      </c>
      <c r="G1181">
        <v>7.91</v>
      </c>
    </row>
    <row r="1182" spans="1:7" x14ac:dyDescent="0.45">
      <c r="A1182" t="s">
        <v>14</v>
      </c>
      <c r="B1182">
        <v>2019</v>
      </c>
      <c r="C1182" s="1">
        <v>43893</v>
      </c>
      <c r="D1182" t="s">
        <v>25</v>
      </c>
      <c r="E1182">
        <v>143606</v>
      </c>
      <c r="F1182">
        <v>2371396</v>
      </c>
      <c r="G1182">
        <v>6.06</v>
      </c>
    </row>
    <row r="1183" spans="1:7" x14ac:dyDescent="0.45">
      <c r="A1183" t="s">
        <v>15</v>
      </c>
      <c r="B1183">
        <v>2019</v>
      </c>
      <c r="C1183" s="1">
        <v>43893</v>
      </c>
      <c r="D1183" t="s">
        <v>25</v>
      </c>
      <c r="E1183">
        <v>243751</v>
      </c>
      <c r="F1183">
        <v>3691561</v>
      </c>
      <c r="G1183">
        <v>6.6</v>
      </c>
    </row>
    <row r="1184" spans="1:7" x14ac:dyDescent="0.45">
      <c r="A1184" t="s">
        <v>17</v>
      </c>
      <c r="B1184">
        <v>2019</v>
      </c>
      <c r="C1184" s="1">
        <v>43893</v>
      </c>
      <c r="D1184" t="s">
        <v>25</v>
      </c>
      <c r="E1184">
        <v>413465</v>
      </c>
      <c r="F1184">
        <v>5862386</v>
      </c>
      <c r="G1184">
        <v>7.05</v>
      </c>
    </row>
    <row r="1185" spans="1:7" x14ac:dyDescent="0.45">
      <c r="A1185" t="s">
        <v>18</v>
      </c>
      <c r="B1185">
        <v>2019</v>
      </c>
      <c r="C1185" s="1">
        <v>43893</v>
      </c>
      <c r="D1185" t="s">
        <v>25</v>
      </c>
      <c r="E1185">
        <v>695256</v>
      </c>
      <c r="F1185">
        <v>5077875</v>
      </c>
      <c r="G1185">
        <v>13.69</v>
      </c>
    </row>
    <row r="1186" spans="1:7" x14ac:dyDescent="0.45">
      <c r="A1186" t="s">
        <v>19</v>
      </c>
      <c r="B1186">
        <v>2019</v>
      </c>
      <c r="C1186" s="1">
        <v>43893</v>
      </c>
      <c r="D1186" t="s">
        <v>25</v>
      </c>
      <c r="E1186">
        <v>74180</v>
      </c>
      <c r="F1186">
        <v>617880</v>
      </c>
      <c r="G1186">
        <v>12.01</v>
      </c>
    </row>
    <row r="1187" spans="1:7" x14ac:dyDescent="0.45">
      <c r="A1187" t="s">
        <v>24</v>
      </c>
      <c r="B1187">
        <v>2019</v>
      </c>
      <c r="C1187" s="1">
        <v>43893</v>
      </c>
      <c r="D1187" t="s">
        <v>25</v>
      </c>
      <c r="E1187">
        <v>293098</v>
      </c>
      <c r="F1187">
        <v>3547474</v>
      </c>
      <c r="G1187">
        <v>8.26</v>
      </c>
    </row>
    <row r="1188" spans="1:7" x14ac:dyDescent="0.45">
      <c r="A1188" t="s">
        <v>20</v>
      </c>
      <c r="B1188">
        <v>2019</v>
      </c>
      <c r="C1188" s="1">
        <v>43893</v>
      </c>
      <c r="D1188" t="s">
        <v>25</v>
      </c>
      <c r="E1188">
        <v>1839722</v>
      </c>
      <c r="F1188">
        <v>23257363</v>
      </c>
      <c r="G1188">
        <v>7.91</v>
      </c>
    </row>
    <row r="1189" spans="1:7" x14ac:dyDescent="0.45">
      <c r="A1189" t="s">
        <v>21</v>
      </c>
      <c r="B1189">
        <v>2019</v>
      </c>
      <c r="C1189" s="1">
        <v>43893</v>
      </c>
      <c r="D1189" t="s">
        <v>25</v>
      </c>
      <c r="E1189">
        <v>498475</v>
      </c>
      <c r="F1189">
        <v>7094962</v>
      </c>
      <c r="G1189">
        <v>7.03</v>
      </c>
    </row>
    <row r="1190" spans="1:7" x14ac:dyDescent="0.45">
      <c r="A1190" t="s">
        <v>7</v>
      </c>
      <c r="B1190">
        <v>2019</v>
      </c>
      <c r="C1190" s="1">
        <v>43925</v>
      </c>
      <c r="D1190" t="s">
        <v>8</v>
      </c>
      <c r="E1190">
        <v>55268</v>
      </c>
      <c r="F1190">
        <v>589481</v>
      </c>
      <c r="G1190">
        <v>9.3800000000000008</v>
      </c>
    </row>
    <row r="1191" spans="1:7" x14ac:dyDescent="0.45">
      <c r="A1191" t="s">
        <v>9</v>
      </c>
      <c r="B1191">
        <v>2019</v>
      </c>
      <c r="C1191" s="1">
        <v>43925</v>
      </c>
      <c r="D1191" t="s">
        <v>8</v>
      </c>
      <c r="E1191">
        <v>160618</v>
      </c>
      <c r="F1191">
        <v>2476087</v>
      </c>
      <c r="G1191">
        <v>6.49</v>
      </c>
    </row>
    <row r="1192" spans="1:7" x14ac:dyDescent="0.45">
      <c r="A1192" t="s">
        <v>10</v>
      </c>
      <c r="B1192">
        <v>2019</v>
      </c>
      <c r="C1192" s="1">
        <v>43925</v>
      </c>
      <c r="D1192" t="s">
        <v>8</v>
      </c>
      <c r="E1192">
        <v>443880</v>
      </c>
      <c r="F1192">
        <v>4789291</v>
      </c>
      <c r="G1192">
        <v>9.27</v>
      </c>
    </row>
    <row r="1193" spans="1:7" x14ac:dyDescent="0.45">
      <c r="A1193" t="s">
        <v>11</v>
      </c>
      <c r="B1193">
        <v>2019</v>
      </c>
      <c r="C1193" s="1">
        <v>43925</v>
      </c>
      <c r="D1193" t="s">
        <v>8</v>
      </c>
      <c r="E1193">
        <v>254701</v>
      </c>
      <c r="F1193">
        <v>3019188</v>
      </c>
      <c r="G1193">
        <v>8.44</v>
      </c>
    </row>
    <row r="1194" spans="1:7" x14ac:dyDescent="0.45">
      <c r="A1194" t="s">
        <v>12</v>
      </c>
      <c r="B1194">
        <v>2019</v>
      </c>
      <c r="C1194" s="1">
        <v>43925</v>
      </c>
      <c r="D1194" t="s">
        <v>8</v>
      </c>
      <c r="E1194">
        <v>1636061</v>
      </c>
      <c r="F1194">
        <v>18207522</v>
      </c>
      <c r="G1194">
        <v>8.99</v>
      </c>
    </row>
    <row r="1195" spans="1:7" x14ac:dyDescent="0.45">
      <c r="A1195" t="s">
        <v>13</v>
      </c>
      <c r="B1195">
        <v>2019</v>
      </c>
      <c r="C1195" s="1">
        <v>43925</v>
      </c>
      <c r="D1195" t="s">
        <v>8</v>
      </c>
      <c r="E1195">
        <v>725139</v>
      </c>
      <c r="F1195">
        <v>10512479</v>
      </c>
      <c r="G1195">
        <v>6.9</v>
      </c>
    </row>
    <row r="1196" spans="1:7" x14ac:dyDescent="0.45">
      <c r="A1196" t="s">
        <v>14</v>
      </c>
      <c r="B1196">
        <v>2019</v>
      </c>
      <c r="C1196" s="1">
        <v>43925</v>
      </c>
      <c r="D1196" t="s">
        <v>8</v>
      </c>
      <c r="E1196">
        <v>157033</v>
      </c>
      <c r="F1196">
        <v>2371396</v>
      </c>
      <c r="G1196">
        <v>6.62</v>
      </c>
    </row>
    <row r="1197" spans="1:7" x14ac:dyDescent="0.45">
      <c r="A1197" t="s">
        <v>15</v>
      </c>
      <c r="B1197">
        <v>2019</v>
      </c>
      <c r="C1197" s="1">
        <v>43925</v>
      </c>
      <c r="D1197" t="s">
        <v>8</v>
      </c>
      <c r="E1197">
        <v>265682</v>
      </c>
      <c r="F1197">
        <v>3691561</v>
      </c>
      <c r="G1197">
        <v>7.2</v>
      </c>
    </row>
    <row r="1198" spans="1:7" x14ac:dyDescent="0.45">
      <c r="A1198" t="s">
        <v>16</v>
      </c>
      <c r="B1198">
        <v>2019</v>
      </c>
      <c r="C1198" s="1">
        <v>43925</v>
      </c>
      <c r="D1198" t="s">
        <v>8</v>
      </c>
      <c r="E1198">
        <v>327974</v>
      </c>
      <c r="F1198">
        <v>3799736</v>
      </c>
      <c r="G1198">
        <v>8.6300000000000008</v>
      </c>
    </row>
    <row r="1199" spans="1:7" x14ac:dyDescent="0.45">
      <c r="A1199" t="s">
        <v>17</v>
      </c>
      <c r="B1199">
        <v>2019</v>
      </c>
      <c r="C1199" s="1">
        <v>43925</v>
      </c>
      <c r="D1199" t="s">
        <v>8</v>
      </c>
      <c r="E1199">
        <v>444597</v>
      </c>
      <c r="F1199">
        <v>5862386</v>
      </c>
      <c r="G1199">
        <v>7.58</v>
      </c>
    </row>
    <row r="1200" spans="1:7" x14ac:dyDescent="0.45">
      <c r="A1200" t="s">
        <v>18</v>
      </c>
      <c r="B1200">
        <v>2019</v>
      </c>
      <c r="C1200" s="1">
        <v>43925</v>
      </c>
      <c r="D1200" t="s">
        <v>8</v>
      </c>
      <c r="E1200">
        <v>483353</v>
      </c>
      <c r="F1200">
        <v>5077875</v>
      </c>
      <c r="G1200">
        <v>9.52</v>
      </c>
    </row>
    <row r="1201" spans="1:7" x14ac:dyDescent="0.45">
      <c r="A1201" t="s">
        <v>19</v>
      </c>
      <c r="B1201">
        <v>2019</v>
      </c>
      <c r="C1201" s="1">
        <v>43925</v>
      </c>
      <c r="D1201" t="s">
        <v>8</v>
      </c>
      <c r="E1201">
        <v>67105</v>
      </c>
      <c r="F1201">
        <v>617880</v>
      </c>
      <c r="G1201">
        <v>10.86</v>
      </c>
    </row>
    <row r="1202" spans="1:7" x14ac:dyDescent="0.45">
      <c r="A1202" t="s">
        <v>20</v>
      </c>
      <c r="B1202">
        <v>2019</v>
      </c>
      <c r="C1202" s="1">
        <v>43925</v>
      </c>
      <c r="D1202" t="s">
        <v>8</v>
      </c>
      <c r="E1202">
        <v>1274917</v>
      </c>
      <c r="F1202">
        <v>23257363</v>
      </c>
      <c r="G1202">
        <v>5.48</v>
      </c>
    </row>
    <row r="1203" spans="1:7" x14ac:dyDescent="0.45">
      <c r="A1203" t="s">
        <v>21</v>
      </c>
      <c r="B1203">
        <v>2019</v>
      </c>
      <c r="C1203" s="1">
        <v>43925</v>
      </c>
      <c r="D1203" t="s">
        <v>8</v>
      </c>
      <c r="E1203">
        <v>394111</v>
      </c>
      <c r="F1203">
        <v>7094962</v>
      </c>
      <c r="G1203">
        <v>5.55</v>
      </c>
    </row>
    <row r="1204" spans="1:7" x14ac:dyDescent="0.45">
      <c r="A1204" t="s">
        <v>22</v>
      </c>
      <c r="B1204">
        <v>2019</v>
      </c>
      <c r="C1204" s="1">
        <v>43925</v>
      </c>
      <c r="D1204" t="s">
        <v>8</v>
      </c>
      <c r="E1204">
        <v>395346</v>
      </c>
      <c r="F1204">
        <v>4851640</v>
      </c>
      <c r="G1204">
        <v>8.15</v>
      </c>
    </row>
    <row r="1205" spans="1:7" x14ac:dyDescent="0.45">
      <c r="A1205" t="s">
        <v>7</v>
      </c>
      <c r="B1205">
        <v>2019</v>
      </c>
      <c r="C1205" s="1">
        <v>43925</v>
      </c>
      <c r="D1205" t="s">
        <v>23</v>
      </c>
      <c r="E1205">
        <v>23618</v>
      </c>
      <c r="F1205">
        <v>589481</v>
      </c>
      <c r="G1205">
        <v>4.01</v>
      </c>
    </row>
    <row r="1206" spans="1:7" x14ac:dyDescent="0.45">
      <c r="A1206" t="s">
        <v>9</v>
      </c>
      <c r="B1206">
        <v>2019</v>
      </c>
      <c r="C1206" s="1">
        <v>43925</v>
      </c>
      <c r="D1206" t="s">
        <v>23</v>
      </c>
      <c r="E1206">
        <v>52904</v>
      </c>
      <c r="F1206">
        <v>2476087</v>
      </c>
      <c r="G1206">
        <v>2.14</v>
      </c>
    </row>
    <row r="1207" spans="1:7" x14ac:dyDescent="0.45">
      <c r="A1207" t="s">
        <v>10</v>
      </c>
      <c r="B1207">
        <v>2019</v>
      </c>
      <c r="C1207" s="1">
        <v>43925</v>
      </c>
      <c r="D1207" t="s">
        <v>23</v>
      </c>
      <c r="E1207">
        <v>183128</v>
      </c>
      <c r="F1207">
        <v>4789291</v>
      </c>
      <c r="G1207">
        <v>3.82</v>
      </c>
    </row>
    <row r="1208" spans="1:7" x14ac:dyDescent="0.45">
      <c r="A1208" t="s">
        <v>11</v>
      </c>
      <c r="B1208">
        <v>2019</v>
      </c>
      <c r="C1208" s="1">
        <v>43925</v>
      </c>
      <c r="D1208" t="s">
        <v>23</v>
      </c>
      <c r="E1208">
        <v>140983</v>
      </c>
      <c r="F1208">
        <v>3019188</v>
      </c>
      <c r="G1208">
        <v>4.67</v>
      </c>
    </row>
    <row r="1209" spans="1:7" x14ac:dyDescent="0.45">
      <c r="A1209" t="s">
        <v>12</v>
      </c>
      <c r="B1209">
        <v>2019</v>
      </c>
      <c r="C1209" s="1">
        <v>43925</v>
      </c>
      <c r="D1209" t="s">
        <v>23</v>
      </c>
      <c r="E1209">
        <v>825742</v>
      </c>
      <c r="F1209">
        <v>18207522</v>
      </c>
      <c r="G1209">
        <v>4.54</v>
      </c>
    </row>
    <row r="1210" spans="1:7" x14ac:dyDescent="0.45">
      <c r="A1210" t="s">
        <v>13</v>
      </c>
      <c r="B1210">
        <v>2019</v>
      </c>
      <c r="C1210" s="1">
        <v>43925</v>
      </c>
      <c r="D1210" t="s">
        <v>23</v>
      </c>
      <c r="E1210">
        <v>388191</v>
      </c>
      <c r="F1210">
        <v>10512479</v>
      </c>
      <c r="G1210">
        <v>3.69</v>
      </c>
    </row>
    <row r="1211" spans="1:7" x14ac:dyDescent="0.45">
      <c r="A1211" t="s">
        <v>15</v>
      </c>
      <c r="B1211">
        <v>2019</v>
      </c>
      <c r="C1211" s="1">
        <v>43925</v>
      </c>
      <c r="D1211" t="s">
        <v>23</v>
      </c>
      <c r="E1211">
        <v>57272</v>
      </c>
      <c r="F1211">
        <v>3691561</v>
      </c>
      <c r="G1211">
        <v>1.55</v>
      </c>
    </row>
    <row r="1212" spans="1:7" x14ac:dyDescent="0.45">
      <c r="A1212" t="s">
        <v>16</v>
      </c>
      <c r="B1212">
        <v>2019</v>
      </c>
      <c r="C1212" s="1">
        <v>43925</v>
      </c>
      <c r="D1212" t="s">
        <v>23</v>
      </c>
      <c r="E1212">
        <v>106950</v>
      </c>
      <c r="F1212">
        <v>3799736</v>
      </c>
      <c r="G1212">
        <v>2.81</v>
      </c>
    </row>
    <row r="1213" spans="1:7" x14ac:dyDescent="0.45">
      <c r="A1213" t="s">
        <v>17</v>
      </c>
      <c r="B1213">
        <v>2019</v>
      </c>
      <c r="C1213" s="1">
        <v>43925</v>
      </c>
      <c r="D1213" t="s">
        <v>23</v>
      </c>
      <c r="E1213">
        <v>282571</v>
      </c>
      <c r="F1213">
        <v>5862386</v>
      </c>
      <c r="G1213">
        <v>4.82</v>
      </c>
    </row>
    <row r="1214" spans="1:7" x14ac:dyDescent="0.45">
      <c r="A1214" t="s">
        <v>18</v>
      </c>
      <c r="B1214">
        <v>2019</v>
      </c>
      <c r="C1214" s="1">
        <v>43925</v>
      </c>
      <c r="D1214" t="s">
        <v>23</v>
      </c>
      <c r="E1214">
        <v>147693</v>
      </c>
      <c r="F1214">
        <v>5077875</v>
      </c>
      <c r="G1214">
        <v>2.91</v>
      </c>
    </row>
    <row r="1215" spans="1:7" x14ac:dyDescent="0.45">
      <c r="A1215" t="s">
        <v>19</v>
      </c>
      <c r="B1215">
        <v>2019</v>
      </c>
      <c r="C1215" s="1">
        <v>43925</v>
      </c>
      <c r="D1215" t="s">
        <v>23</v>
      </c>
      <c r="E1215">
        <v>23036</v>
      </c>
      <c r="F1215">
        <v>617880</v>
      </c>
      <c r="G1215">
        <v>3.73</v>
      </c>
    </row>
    <row r="1216" spans="1:7" x14ac:dyDescent="0.45">
      <c r="A1216" t="s">
        <v>24</v>
      </c>
      <c r="B1216">
        <v>2019</v>
      </c>
      <c r="C1216" s="1">
        <v>43925</v>
      </c>
      <c r="D1216" t="s">
        <v>23</v>
      </c>
      <c r="E1216">
        <v>232087</v>
      </c>
      <c r="F1216">
        <v>3547474</v>
      </c>
      <c r="G1216">
        <v>6.54</v>
      </c>
    </row>
    <row r="1217" spans="1:7" x14ac:dyDescent="0.45">
      <c r="A1217" t="s">
        <v>20</v>
      </c>
      <c r="B1217">
        <v>2019</v>
      </c>
      <c r="C1217" s="1">
        <v>43925</v>
      </c>
      <c r="D1217" t="s">
        <v>23</v>
      </c>
      <c r="E1217">
        <v>604070</v>
      </c>
      <c r="F1217">
        <v>23257363</v>
      </c>
      <c r="G1217">
        <v>2.6</v>
      </c>
    </row>
    <row r="1218" spans="1:7" x14ac:dyDescent="0.45">
      <c r="A1218" t="s">
        <v>21</v>
      </c>
      <c r="B1218">
        <v>2019</v>
      </c>
      <c r="C1218" s="1">
        <v>43925</v>
      </c>
      <c r="D1218" t="s">
        <v>23</v>
      </c>
      <c r="E1218">
        <v>293252</v>
      </c>
      <c r="F1218">
        <v>7094962</v>
      </c>
      <c r="G1218">
        <v>4.13</v>
      </c>
    </row>
    <row r="1219" spans="1:7" x14ac:dyDescent="0.45">
      <c r="A1219" t="s">
        <v>22</v>
      </c>
      <c r="B1219">
        <v>2019</v>
      </c>
      <c r="C1219" s="1">
        <v>43925</v>
      </c>
      <c r="D1219" t="s">
        <v>23</v>
      </c>
      <c r="E1219">
        <v>150979</v>
      </c>
      <c r="F1219">
        <v>4851640</v>
      </c>
      <c r="G1219">
        <v>3.11</v>
      </c>
    </row>
    <row r="1220" spans="1:7" x14ac:dyDescent="0.45">
      <c r="A1220" t="s">
        <v>7</v>
      </c>
      <c r="B1220">
        <v>2019</v>
      </c>
      <c r="C1220" s="1">
        <v>43925</v>
      </c>
      <c r="D1220" t="s">
        <v>25</v>
      </c>
      <c r="E1220">
        <v>51214</v>
      </c>
      <c r="F1220">
        <v>589481</v>
      </c>
      <c r="G1220">
        <v>8.69</v>
      </c>
    </row>
    <row r="1221" spans="1:7" x14ac:dyDescent="0.45">
      <c r="A1221" t="s">
        <v>9</v>
      </c>
      <c r="B1221">
        <v>2019</v>
      </c>
      <c r="C1221" s="1">
        <v>43925</v>
      </c>
      <c r="D1221" t="s">
        <v>25</v>
      </c>
      <c r="E1221">
        <v>176747</v>
      </c>
      <c r="F1221">
        <v>2476087</v>
      </c>
      <c r="G1221">
        <v>7.14</v>
      </c>
    </row>
    <row r="1222" spans="1:7" x14ac:dyDescent="0.45">
      <c r="A1222" t="s">
        <v>10</v>
      </c>
      <c r="B1222">
        <v>2019</v>
      </c>
      <c r="C1222" s="1">
        <v>43925</v>
      </c>
      <c r="D1222" t="s">
        <v>25</v>
      </c>
      <c r="E1222">
        <v>464585</v>
      </c>
      <c r="F1222">
        <v>4789291</v>
      </c>
      <c r="G1222">
        <v>9.6999999999999993</v>
      </c>
    </row>
    <row r="1223" spans="1:7" x14ac:dyDescent="0.45">
      <c r="A1223" t="s">
        <v>11</v>
      </c>
      <c r="B1223">
        <v>2019</v>
      </c>
      <c r="C1223" s="1">
        <v>43925</v>
      </c>
      <c r="D1223" t="s">
        <v>25</v>
      </c>
      <c r="E1223">
        <v>194294</v>
      </c>
      <c r="F1223">
        <v>3019188</v>
      </c>
      <c r="G1223">
        <v>6.44</v>
      </c>
    </row>
    <row r="1224" spans="1:7" x14ac:dyDescent="0.45">
      <c r="A1224" t="s">
        <v>12</v>
      </c>
      <c r="B1224">
        <v>2019</v>
      </c>
      <c r="C1224" s="1">
        <v>43925</v>
      </c>
      <c r="D1224" t="s">
        <v>25</v>
      </c>
      <c r="E1224">
        <v>1643040</v>
      </c>
      <c r="F1224">
        <v>18207522</v>
      </c>
      <c r="G1224">
        <v>9.02</v>
      </c>
    </row>
    <row r="1225" spans="1:7" x14ac:dyDescent="0.45">
      <c r="A1225" t="s">
        <v>13</v>
      </c>
      <c r="B1225">
        <v>2019</v>
      </c>
      <c r="C1225" s="1">
        <v>43925</v>
      </c>
      <c r="D1225" t="s">
        <v>25</v>
      </c>
      <c r="E1225">
        <v>919214</v>
      </c>
      <c r="F1225">
        <v>10512479</v>
      </c>
      <c r="G1225">
        <v>8.74</v>
      </c>
    </row>
    <row r="1226" spans="1:7" x14ac:dyDescent="0.45">
      <c r="A1226" t="s">
        <v>14</v>
      </c>
      <c r="B1226">
        <v>2019</v>
      </c>
      <c r="C1226" s="1">
        <v>43925</v>
      </c>
      <c r="D1226" t="s">
        <v>25</v>
      </c>
      <c r="E1226">
        <v>215579</v>
      </c>
      <c r="F1226">
        <v>2371396</v>
      </c>
      <c r="G1226">
        <v>9.09</v>
      </c>
    </row>
    <row r="1227" spans="1:7" x14ac:dyDescent="0.45">
      <c r="A1227" t="s">
        <v>15</v>
      </c>
      <c r="B1227">
        <v>2019</v>
      </c>
      <c r="C1227" s="1">
        <v>43925</v>
      </c>
      <c r="D1227" t="s">
        <v>25</v>
      </c>
      <c r="E1227">
        <v>298141</v>
      </c>
      <c r="F1227">
        <v>3691561</v>
      </c>
      <c r="G1227">
        <v>8.08</v>
      </c>
    </row>
    <row r="1228" spans="1:7" x14ac:dyDescent="0.45">
      <c r="A1228" t="s">
        <v>17</v>
      </c>
      <c r="B1228">
        <v>2019</v>
      </c>
      <c r="C1228" s="1">
        <v>43925</v>
      </c>
      <c r="D1228" t="s">
        <v>25</v>
      </c>
      <c r="E1228">
        <v>478989</v>
      </c>
      <c r="F1228">
        <v>5862386</v>
      </c>
      <c r="G1228">
        <v>8.17</v>
      </c>
    </row>
    <row r="1229" spans="1:7" x14ac:dyDescent="0.45">
      <c r="A1229" t="s">
        <v>18</v>
      </c>
      <c r="B1229">
        <v>2019</v>
      </c>
      <c r="C1229" s="1">
        <v>43925</v>
      </c>
      <c r="D1229" t="s">
        <v>25</v>
      </c>
      <c r="E1229">
        <v>485288</v>
      </c>
      <c r="F1229">
        <v>5077875</v>
      </c>
      <c r="G1229">
        <v>9.56</v>
      </c>
    </row>
    <row r="1230" spans="1:7" x14ac:dyDescent="0.45">
      <c r="A1230" t="s">
        <v>19</v>
      </c>
      <c r="B1230">
        <v>2019</v>
      </c>
      <c r="C1230" s="1">
        <v>43925</v>
      </c>
      <c r="D1230" t="s">
        <v>25</v>
      </c>
      <c r="E1230">
        <v>84014</v>
      </c>
      <c r="F1230">
        <v>617880</v>
      </c>
      <c r="G1230">
        <v>13.6</v>
      </c>
    </row>
    <row r="1231" spans="1:7" x14ac:dyDescent="0.45">
      <c r="A1231" t="s">
        <v>24</v>
      </c>
      <c r="B1231">
        <v>2019</v>
      </c>
      <c r="C1231" s="1">
        <v>43925</v>
      </c>
      <c r="D1231" t="s">
        <v>25</v>
      </c>
      <c r="E1231">
        <v>329985</v>
      </c>
      <c r="F1231">
        <v>3547474</v>
      </c>
      <c r="G1231">
        <v>9.3000000000000007</v>
      </c>
    </row>
    <row r="1232" spans="1:7" x14ac:dyDescent="0.45">
      <c r="A1232" t="s">
        <v>20</v>
      </c>
      <c r="B1232">
        <v>2019</v>
      </c>
      <c r="C1232" s="1">
        <v>43925</v>
      </c>
      <c r="D1232" t="s">
        <v>25</v>
      </c>
      <c r="E1232">
        <v>2236446</v>
      </c>
      <c r="F1232">
        <v>23257363</v>
      </c>
      <c r="G1232">
        <v>9.6199999999999992</v>
      </c>
    </row>
    <row r="1233" spans="1:7" x14ac:dyDescent="0.45">
      <c r="A1233" t="s">
        <v>21</v>
      </c>
      <c r="B1233">
        <v>2019</v>
      </c>
      <c r="C1233" s="1">
        <v>43925</v>
      </c>
      <c r="D1233" t="s">
        <v>25</v>
      </c>
      <c r="E1233">
        <v>570960</v>
      </c>
      <c r="F1233">
        <v>7094962</v>
      </c>
      <c r="G1233">
        <v>8.0500000000000007</v>
      </c>
    </row>
    <row r="1234" spans="1:7" x14ac:dyDescent="0.45">
      <c r="A1234" t="s">
        <v>7</v>
      </c>
      <c r="B1234">
        <v>2019</v>
      </c>
      <c r="C1234" s="1">
        <v>43956</v>
      </c>
      <c r="D1234" t="s">
        <v>8</v>
      </c>
      <c r="E1234">
        <v>76844</v>
      </c>
      <c r="F1234">
        <v>589481</v>
      </c>
      <c r="G1234">
        <v>13.04</v>
      </c>
    </row>
    <row r="1235" spans="1:7" x14ac:dyDescent="0.45">
      <c r="A1235" t="s">
        <v>9</v>
      </c>
      <c r="B1235">
        <v>2019</v>
      </c>
      <c r="C1235" s="1">
        <v>43956</v>
      </c>
      <c r="D1235" t="s">
        <v>8</v>
      </c>
      <c r="E1235">
        <v>130988</v>
      </c>
      <c r="F1235">
        <v>2476087</v>
      </c>
      <c r="G1235">
        <v>5.29</v>
      </c>
    </row>
    <row r="1236" spans="1:7" x14ac:dyDescent="0.45">
      <c r="A1236" t="s">
        <v>10</v>
      </c>
      <c r="B1236">
        <v>2019</v>
      </c>
      <c r="C1236" s="1">
        <v>43956</v>
      </c>
      <c r="D1236" t="s">
        <v>8</v>
      </c>
      <c r="E1236">
        <v>284741</v>
      </c>
      <c r="F1236">
        <v>4789291</v>
      </c>
      <c r="G1236">
        <v>5.95</v>
      </c>
    </row>
    <row r="1237" spans="1:7" x14ac:dyDescent="0.45">
      <c r="A1237" t="s">
        <v>11</v>
      </c>
      <c r="B1237">
        <v>2019</v>
      </c>
      <c r="C1237" s="1">
        <v>43956</v>
      </c>
      <c r="D1237" t="s">
        <v>8</v>
      </c>
      <c r="E1237">
        <v>280678</v>
      </c>
      <c r="F1237">
        <v>3019188</v>
      </c>
      <c r="G1237">
        <v>9.3000000000000007</v>
      </c>
    </row>
    <row r="1238" spans="1:7" x14ac:dyDescent="0.45">
      <c r="A1238" t="s">
        <v>12</v>
      </c>
      <c r="B1238">
        <v>2019</v>
      </c>
      <c r="C1238" s="1">
        <v>43956</v>
      </c>
      <c r="D1238" t="s">
        <v>8</v>
      </c>
      <c r="E1238">
        <v>1633806</v>
      </c>
      <c r="F1238">
        <v>18207522</v>
      </c>
      <c r="G1238">
        <v>8.9700000000000006</v>
      </c>
    </row>
    <row r="1239" spans="1:7" x14ac:dyDescent="0.45">
      <c r="A1239" t="s">
        <v>13</v>
      </c>
      <c r="B1239">
        <v>2019</v>
      </c>
      <c r="C1239" s="1">
        <v>43956</v>
      </c>
      <c r="D1239" t="s">
        <v>8</v>
      </c>
      <c r="E1239">
        <v>829945</v>
      </c>
      <c r="F1239">
        <v>10512479</v>
      </c>
      <c r="G1239">
        <v>7.89</v>
      </c>
    </row>
    <row r="1240" spans="1:7" x14ac:dyDescent="0.45">
      <c r="A1240" t="s">
        <v>14</v>
      </c>
      <c r="B1240">
        <v>2019</v>
      </c>
      <c r="C1240" s="1">
        <v>43956</v>
      </c>
      <c r="D1240" t="s">
        <v>8</v>
      </c>
      <c r="E1240">
        <v>177983</v>
      </c>
      <c r="F1240">
        <v>2371396</v>
      </c>
      <c r="G1240">
        <v>7.51</v>
      </c>
    </row>
    <row r="1241" spans="1:7" x14ac:dyDescent="0.45">
      <c r="A1241" t="s">
        <v>15</v>
      </c>
      <c r="B1241">
        <v>2019</v>
      </c>
      <c r="C1241" s="1">
        <v>43956</v>
      </c>
      <c r="D1241" t="s">
        <v>8</v>
      </c>
      <c r="E1241">
        <v>282910</v>
      </c>
      <c r="F1241">
        <v>3691561</v>
      </c>
      <c r="G1241">
        <v>7.66</v>
      </c>
    </row>
    <row r="1242" spans="1:7" x14ac:dyDescent="0.45">
      <c r="A1242" t="s">
        <v>16</v>
      </c>
      <c r="B1242">
        <v>2019</v>
      </c>
      <c r="C1242" s="1">
        <v>43956</v>
      </c>
      <c r="D1242" t="s">
        <v>8</v>
      </c>
      <c r="E1242">
        <v>357857</v>
      </c>
      <c r="F1242">
        <v>3799736</v>
      </c>
      <c r="G1242">
        <v>9.42</v>
      </c>
    </row>
    <row r="1243" spans="1:7" x14ac:dyDescent="0.45">
      <c r="A1243" t="s">
        <v>17</v>
      </c>
      <c r="B1243">
        <v>2019</v>
      </c>
      <c r="C1243" s="1">
        <v>43956</v>
      </c>
      <c r="D1243" t="s">
        <v>8</v>
      </c>
      <c r="E1243">
        <v>580322</v>
      </c>
      <c r="F1243">
        <v>5862386</v>
      </c>
      <c r="G1243">
        <v>9.9</v>
      </c>
    </row>
    <row r="1244" spans="1:7" x14ac:dyDescent="0.45">
      <c r="A1244" t="s">
        <v>18</v>
      </c>
      <c r="B1244">
        <v>2019</v>
      </c>
      <c r="C1244" s="1">
        <v>43956</v>
      </c>
      <c r="D1244" t="s">
        <v>8</v>
      </c>
      <c r="E1244">
        <v>510654</v>
      </c>
      <c r="F1244">
        <v>5077875</v>
      </c>
      <c r="G1244">
        <v>10.06</v>
      </c>
    </row>
    <row r="1245" spans="1:7" x14ac:dyDescent="0.45">
      <c r="A1245" t="s">
        <v>19</v>
      </c>
      <c r="B1245">
        <v>2019</v>
      </c>
      <c r="C1245" s="1">
        <v>43956</v>
      </c>
      <c r="D1245" t="s">
        <v>8</v>
      </c>
      <c r="E1245">
        <v>70153</v>
      </c>
      <c r="F1245">
        <v>617880</v>
      </c>
      <c r="G1245">
        <v>11.35</v>
      </c>
    </row>
    <row r="1246" spans="1:7" x14ac:dyDescent="0.45">
      <c r="A1246" t="s">
        <v>20</v>
      </c>
      <c r="B1246">
        <v>2019</v>
      </c>
      <c r="C1246" s="1">
        <v>43956</v>
      </c>
      <c r="D1246" t="s">
        <v>8</v>
      </c>
      <c r="E1246">
        <v>1523221</v>
      </c>
      <c r="F1246">
        <v>23257363</v>
      </c>
      <c r="G1246">
        <v>6.55</v>
      </c>
    </row>
    <row r="1247" spans="1:7" x14ac:dyDescent="0.45">
      <c r="A1247" t="s">
        <v>21</v>
      </c>
      <c r="B1247">
        <v>2019</v>
      </c>
      <c r="C1247" s="1">
        <v>43956</v>
      </c>
      <c r="D1247" t="s">
        <v>8</v>
      </c>
      <c r="E1247">
        <v>443046</v>
      </c>
      <c r="F1247">
        <v>7094962</v>
      </c>
      <c r="G1247">
        <v>6.24</v>
      </c>
    </row>
    <row r="1248" spans="1:7" x14ac:dyDescent="0.45">
      <c r="A1248" t="s">
        <v>22</v>
      </c>
      <c r="B1248">
        <v>2019</v>
      </c>
      <c r="C1248" s="1">
        <v>43956</v>
      </c>
      <c r="D1248" t="s">
        <v>8</v>
      </c>
      <c r="E1248">
        <v>494061</v>
      </c>
      <c r="F1248">
        <v>4851640</v>
      </c>
      <c r="G1248">
        <v>10.18</v>
      </c>
    </row>
    <row r="1249" spans="1:7" x14ac:dyDescent="0.45">
      <c r="A1249" t="s">
        <v>7</v>
      </c>
      <c r="B1249">
        <v>2019</v>
      </c>
      <c r="C1249" s="1">
        <v>43956</v>
      </c>
      <c r="D1249" t="s">
        <v>23</v>
      </c>
      <c r="E1249">
        <v>29427</v>
      </c>
      <c r="F1249">
        <v>589481</v>
      </c>
      <c r="G1249">
        <v>4.99</v>
      </c>
    </row>
    <row r="1250" spans="1:7" x14ac:dyDescent="0.45">
      <c r="A1250" t="s">
        <v>9</v>
      </c>
      <c r="B1250">
        <v>2019</v>
      </c>
      <c r="C1250" s="1">
        <v>43956</v>
      </c>
      <c r="D1250" t="s">
        <v>23</v>
      </c>
      <c r="E1250">
        <v>53853</v>
      </c>
      <c r="F1250">
        <v>2476087</v>
      </c>
      <c r="G1250">
        <v>2.17</v>
      </c>
    </row>
    <row r="1251" spans="1:7" x14ac:dyDescent="0.45">
      <c r="A1251" t="s">
        <v>10</v>
      </c>
      <c r="B1251">
        <v>2019</v>
      </c>
      <c r="C1251" s="1">
        <v>43956</v>
      </c>
      <c r="D1251" t="s">
        <v>23</v>
      </c>
      <c r="E1251">
        <v>146093</v>
      </c>
      <c r="F1251">
        <v>4789291</v>
      </c>
      <c r="G1251">
        <v>3.05</v>
      </c>
    </row>
    <row r="1252" spans="1:7" x14ac:dyDescent="0.45">
      <c r="A1252" t="s">
        <v>11</v>
      </c>
      <c r="B1252">
        <v>2019</v>
      </c>
      <c r="C1252" s="1">
        <v>43956</v>
      </c>
      <c r="D1252" t="s">
        <v>23</v>
      </c>
      <c r="E1252">
        <v>150565</v>
      </c>
      <c r="F1252">
        <v>3019188</v>
      </c>
      <c r="G1252">
        <v>4.99</v>
      </c>
    </row>
    <row r="1253" spans="1:7" x14ac:dyDescent="0.45">
      <c r="A1253" t="s">
        <v>12</v>
      </c>
      <c r="B1253">
        <v>2019</v>
      </c>
      <c r="C1253" s="1">
        <v>43956</v>
      </c>
      <c r="D1253" t="s">
        <v>23</v>
      </c>
      <c r="E1253">
        <v>754917</v>
      </c>
      <c r="F1253">
        <v>18207522</v>
      </c>
      <c r="G1253">
        <v>4.1500000000000004</v>
      </c>
    </row>
    <row r="1254" spans="1:7" x14ac:dyDescent="0.45">
      <c r="A1254" t="s">
        <v>13</v>
      </c>
      <c r="B1254">
        <v>2019</v>
      </c>
      <c r="C1254" s="1">
        <v>43956</v>
      </c>
      <c r="D1254" t="s">
        <v>23</v>
      </c>
      <c r="E1254">
        <v>421464</v>
      </c>
      <c r="F1254">
        <v>10512479</v>
      </c>
      <c r="G1254">
        <v>4.01</v>
      </c>
    </row>
    <row r="1255" spans="1:7" x14ac:dyDescent="0.45">
      <c r="A1255" t="s">
        <v>15</v>
      </c>
      <c r="B1255">
        <v>2019</v>
      </c>
      <c r="C1255" s="1">
        <v>43956</v>
      </c>
      <c r="D1255" t="s">
        <v>23</v>
      </c>
      <c r="E1255">
        <v>70605</v>
      </c>
      <c r="F1255">
        <v>3691561</v>
      </c>
      <c r="G1255">
        <v>1.91</v>
      </c>
    </row>
    <row r="1256" spans="1:7" x14ac:dyDescent="0.45">
      <c r="A1256" t="s">
        <v>16</v>
      </c>
      <c r="B1256">
        <v>2019</v>
      </c>
      <c r="C1256" s="1">
        <v>43956</v>
      </c>
      <c r="D1256" t="s">
        <v>23</v>
      </c>
      <c r="E1256">
        <v>112680</v>
      </c>
      <c r="F1256">
        <v>3799736</v>
      </c>
      <c r="G1256">
        <v>2.97</v>
      </c>
    </row>
    <row r="1257" spans="1:7" x14ac:dyDescent="0.45">
      <c r="A1257" t="s">
        <v>17</v>
      </c>
      <c r="B1257">
        <v>2019</v>
      </c>
      <c r="C1257" s="1">
        <v>43956</v>
      </c>
      <c r="D1257" t="s">
        <v>23</v>
      </c>
      <c r="E1257">
        <v>335240</v>
      </c>
      <c r="F1257">
        <v>5862386</v>
      </c>
      <c r="G1257">
        <v>5.72</v>
      </c>
    </row>
    <row r="1258" spans="1:7" x14ac:dyDescent="0.45">
      <c r="A1258" t="s">
        <v>18</v>
      </c>
      <c r="B1258">
        <v>2019</v>
      </c>
      <c r="C1258" s="1">
        <v>43956</v>
      </c>
      <c r="D1258" t="s">
        <v>23</v>
      </c>
      <c r="E1258">
        <v>176435</v>
      </c>
      <c r="F1258">
        <v>5077875</v>
      </c>
      <c r="G1258">
        <v>3.47</v>
      </c>
    </row>
    <row r="1259" spans="1:7" x14ac:dyDescent="0.45">
      <c r="A1259" t="s">
        <v>19</v>
      </c>
      <c r="B1259">
        <v>2019</v>
      </c>
      <c r="C1259" s="1">
        <v>43956</v>
      </c>
      <c r="D1259" t="s">
        <v>23</v>
      </c>
      <c r="E1259">
        <v>14910</v>
      </c>
      <c r="F1259">
        <v>617880</v>
      </c>
      <c r="G1259">
        <v>2.41</v>
      </c>
    </row>
    <row r="1260" spans="1:7" x14ac:dyDescent="0.45">
      <c r="A1260" t="s">
        <v>24</v>
      </c>
      <c r="B1260">
        <v>2019</v>
      </c>
      <c r="C1260" s="1">
        <v>43956</v>
      </c>
      <c r="D1260" t="s">
        <v>23</v>
      </c>
      <c r="E1260">
        <v>165450</v>
      </c>
      <c r="F1260">
        <v>3547474</v>
      </c>
      <c r="G1260">
        <v>4.66</v>
      </c>
    </row>
    <row r="1261" spans="1:7" x14ac:dyDescent="0.45">
      <c r="A1261" t="s">
        <v>20</v>
      </c>
      <c r="B1261">
        <v>2019</v>
      </c>
      <c r="C1261" s="1">
        <v>43956</v>
      </c>
      <c r="D1261" t="s">
        <v>23</v>
      </c>
      <c r="E1261">
        <v>636862</v>
      </c>
      <c r="F1261">
        <v>23257363</v>
      </c>
      <c r="G1261">
        <v>2.74</v>
      </c>
    </row>
    <row r="1262" spans="1:7" x14ac:dyDescent="0.45">
      <c r="A1262" t="s">
        <v>21</v>
      </c>
      <c r="B1262">
        <v>2019</v>
      </c>
      <c r="C1262" s="1">
        <v>43956</v>
      </c>
      <c r="D1262" t="s">
        <v>23</v>
      </c>
      <c r="E1262">
        <v>315072</v>
      </c>
      <c r="F1262">
        <v>7094962</v>
      </c>
      <c r="G1262">
        <v>4.4400000000000004</v>
      </c>
    </row>
    <row r="1263" spans="1:7" x14ac:dyDescent="0.45">
      <c r="A1263" t="s">
        <v>22</v>
      </c>
      <c r="B1263">
        <v>2019</v>
      </c>
      <c r="C1263" s="1">
        <v>43956</v>
      </c>
      <c r="D1263" t="s">
        <v>23</v>
      </c>
      <c r="E1263">
        <v>123430</v>
      </c>
      <c r="F1263">
        <v>4851640</v>
      </c>
      <c r="G1263">
        <v>2.54</v>
      </c>
    </row>
    <row r="1264" spans="1:7" x14ac:dyDescent="0.45">
      <c r="A1264" t="s">
        <v>7</v>
      </c>
      <c r="B1264">
        <v>2019</v>
      </c>
      <c r="C1264" s="1">
        <v>43956</v>
      </c>
      <c r="D1264" t="s">
        <v>25</v>
      </c>
      <c r="E1264">
        <v>66696</v>
      </c>
      <c r="F1264">
        <v>589481</v>
      </c>
      <c r="G1264">
        <v>11.31</v>
      </c>
    </row>
    <row r="1265" spans="1:7" x14ac:dyDescent="0.45">
      <c r="A1265" t="s">
        <v>9</v>
      </c>
      <c r="B1265">
        <v>2019</v>
      </c>
      <c r="C1265" s="1">
        <v>43956</v>
      </c>
      <c r="D1265" t="s">
        <v>25</v>
      </c>
      <c r="E1265">
        <v>175198</v>
      </c>
      <c r="F1265">
        <v>2476087</v>
      </c>
      <c r="G1265">
        <v>7.08</v>
      </c>
    </row>
    <row r="1266" spans="1:7" x14ac:dyDescent="0.45">
      <c r="A1266" t="s">
        <v>10</v>
      </c>
      <c r="B1266">
        <v>2019</v>
      </c>
      <c r="C1266" s="1">
        <v>43956</v>
      </c>
      <c r="D1266" t="s">
        <v>25</v>
      </c>
      <c r="E1266">
        <v>505670</v>
      </c>
      <c r="F1266">
        <v>4789291</v>
      </c>
      <c r="G1266">
        <v>10.56</v>
      </c>
    </row>
    <row r="1267" spans="1:7" x14ac:dyDescent="0.45">
      <c r="A1267" t="s">
        <v>11</v>
      </c>
      <c r="B1267">
        <v>2019</v>
      </c>
      <c r="C1267" s="1">
        <v>43956</v>
      </c>
      <c r="D1267" t="s">
        <v>25</v>
      </c>
      <c r="E1267">
        <v>231191</v>
      </c>
      <c r="F1267">
        <v>3019188</v>
      </c>
      <c r="G1267">
        <v>7.66</v>
      </c>
    </row>
    <row r="1268" spans="1:7" x14ac:dyDescent="0.45">
      <c r="A1268" t="s">
        <v>12</v>
      </c>
      <c r="B1268">
        <v>2019</v>
      </c>
      <c r="C1268" s="1">
        <v>43956</v>
      </c>
      <c r="D1268" t="s">
        <v>25</v>
      </c>
      <c r="E1268">
        <v>1795631</v>
      </c>
      <c r="F1268">
        <v>18207522</v>
      </c>
      <c r="G1268">
        <v>9.86</v>
      </c>
    </row>
    <row r="1269" spans="1:7" x14ac:dyDescent="0.45">
      <c r="A1269" t="s">
        <v>13</v>
      </c>
      <c r="B1269">
        <v>2019</v>
      </c>
      <c r="C1269" s="1">
        <v>43956</v>
      </c>
      <c r="D1269" t="s">
        <v>25</v>
      </c>
      <c r="E1269">
        <v>1113209</v>
      </c>
      <c r="F1269">
        <v>10512479</v>
      </c>
      <c r="G1269">
        <v>10.59</v>
      </c>
    </row>
    <row r="1270" spans="1:7" x14ac:dyDescent="0.45">
      <c r="A1270" t="s">
        <v>14</v>
      </c>
      <c r="B1270">
        <v>2019</v>
      </c>
      <c r="C1270" s="1">
        <v>43956</v>
      </c>
      <c r="D1270" t="s">
        <v>25</v>
      </c>
      <c r="E1270">
        <v>210334</v>
      </c>
      <c r="F1270">
        <v>2371396</v>
      </c>
      <c r="G1270">
        <v>8.8699999999999992</v>
      </c>
    </row>
    <row r="1271" spans="1:7" x14ac:dyDescent="0.45">
      <c r="A1271" t="s">
        <v>15</v>
      </c>
      <c r="B1271">
        <v>2019</v>
      </c>
      <c r="C1271" s="1">
        <v>43956</v>
      </c>
      <c r="D1271" t="s">
        <v>25</v>
      </c>
      <c r="E1271">
        <v>308090</v>
      </c>
      <c r="F1271">
        <v>3691561</v>
      </c>
      <c r="G1271">
        <v>8.35</v>
      </c>
    </row>
    <row r="1272" spans="1:7" x14ac:dyDescent="0.45">
      <c r="A1272" t="s">
        <v>17</v>
      </c>
      <c r="B1272">
        <v>2019</v>
      </c>
      <c r="C1272" s="1">
        <v>43956</v>
      </c>
      <c r="D1272" t="s">
        <v>25</v>
      </c>
      <c r="E1272">
        <v>552564</v>
      </c>
      <c r="F1272">
        <v>5862386</v>
      </c>
      <c r="G1272">
        <v>9.43</v>
      </c>
    </row>
    <row r="1273" spans="1:7" x14ac:dyDescent="0.45">
      <c r="A1273" t="s">
        <v>18</v>
      </c>
      <c r="B1273">
        <v>2019</v>
      </c>
      <c r="C1273" s="1">
        <v>43956</v>
      </c>
      <c r="D1273" t="s">
        <v>25</v>
      </c>
      <c r="E1273">
        <v>532645</v>
      </c>
      <c r="F1273">
        <v>5077875</v>
      </c>
      <c r="G1273">
        <v>10.49</v>
      </c>
    </row>
    <row r="1274" spans="1:7" x14ac:dyDescent="0.45">
      <c r="A1274" t="s">
        <v>19</v>
      </c>
      <c r="B1274">
        <v>2019</v>
      </c>
      <c r="C1274" s="1">
        <v>43956</v>
      </c>
      <c r="D1274" t="s">
        <v>25</v>
      </c>
      <c r="E1274">
        <v>90003</v>
      </c>
      <c r="F1274">
        <v>617880</v>
      </c>
      <c r="G1274">
        <v>14.57</v>
      </c>
    </row>
    <row r="1275" spans="1:7" x14ac:dyDescent="0.45">
      <c r="A1275" t="s">
        <v>24</v>
      </c>
      <c r="B1275">
        <v>2019</v>
      </c>
      <c r="C1275" s="1">
        <v>43956</v>
      </c>
      <c r="D1275" t="s">
        <v>25</v>
      </c>
      <c r="E1275">
        <v>393905</v>
      </c>
      <c r="F1275">
        <v>3547474</v>
      </c>
      <c r="G1275">
        <v>11.1</v>
      </c>
    </row>
    <row r="1276" spans="1:7" x14ac:dyDescent="0.45">
      <c r="A1276" t="s">
        <v>20</v>
      </c>
      <c r="B1276">
        <v>2019</v>
      </c>
      <c r="C1276" s="1">
        <v>43956</v>
      </c>
      <c r="D1276" t="s">
        <v>25</v>
      </c>
      <c r="E1276">
        <v>2410456</v>
      </c>
      <c r="F1276">
        <v>23257363</v>
      </c>
      <c r="G1276">
        <v>10.36</v>
      </c>
    </row>
    <row r="1277" spans="1:7" x14ac:dyDescent="0.45">
      <c r="A1277" t="s">
        <v>21</v>
      </c>
      <c r="B1277">
        <v>2019</v>
      </c>
      <c r="C1277" s="1">
        <v>43956</v>
      </c>
      <c r="D1277" t="s">
        <v>25</v>
      </c>
      <c r="E1277">
        <v>670576</v>
      </c>
      <c r="F1277">
        <v>7094962</v>
      </c>
      <c r="G1277">
        <v>9.4499999999999993</v>
      </c>
    </row>
    <row r="1278" spans="1:7" x14ac:dyDescent="0.45">
      <c r="A1278" t="s">
        <v>7</v>
      </c>
      <c r="B1278">
        <v>2019</v>
      </c>
      <c r="C1278" s="1">
        <v>43988</v>
      </c>
      <c r="D1278" t="s">
        <v>8</v>
      </c>
      <c r="E1278">
        <v>70036</v>
      </c>
      <c r="F1278">
        <v>589481</v>
      </c>
      <c r="G1278">
        <v>11.88</v>
      </c>
    </row>
    <row r="1279" spans="1:7" x14ac:dyDescent="0.45">
      <c r="A1279" t="s">
        <v>9</v>
      </c>
      <c r="B1279">
        <v>2019</v>
      </c>
      <c r="C1279" s="1">
        <v>43988</v>
      </c>
      <c r="D1279" t="s">
        <v>8</v>
      </c>
      <c r="E1279">
        <v>168156</v>
      </c>
      <c r="F1279">
        <v>2476087</v>
      </c>
      <c r="G1279">
        <v>6.79</v>
      </c>
    </row>
    <row r="1280" spans="1:7" x14ac:dyDescent="0.45">
      <c r="A1280" t="s">
        <v>10</v>
      </c>
      <c r="B1280">
        <v>2019</v>
      </c>
      <c r="C1280" s="1">
        <v>43988</v>
      </c>
      <c r="D1280" t="s">
        <v>8</v>
      </c>
      <c r="E1280">
        <v>599731</v>
      </c>
      <c r="F1280">
        <v>4789291</v>
      </c>
      <c r="G1280">
        <v>12.52</v>
      </c>
    </row>
    <row r="1281" spans="1:7" x14ac:dyDescent="0.45">
      <c r="A1281" t="s">
        <v>11</v>
      </c>
      <c r="B1281">
        <v>2019</v>
      </c>
      <c r="C1281" s="1">
        <v>43988</v>
      </c>
      <c r="D1281" t="s">
        <v>8</v>
      </c>
      <c r="E1281">
        <v>283207</v>
      </c>
      <c r="F1281">
        <v>3019188</v>
      </c>
      <c r="G1281">
        <v>9.3800000000000008</v>
      </c>
    </row>
    <row r="1282" spans="1:7" x14ac:dyDescent="0.45">
      <c r="A1282" t="s">
        <v>12</v>
      </c>
      <c r="B1282">
        <v>2019</v>
      </c>
      <c r="C1282" s="1">
        <v>43988</v>
      </c>
      <c r="D1282" t="s">
        <v>8</v>
      </c>
      <c r="E1282">
        <v>1857997</v>
      </c>
      <c r="F1282">
        <v>18207522</v>
      </c>
      <c r="G1282">
        <v>10.199999999999999</v>
      </c>
    </row>
    <row r="1283" spans="1:7" x14ac:dyDescent="0.45">
      <c r="A1283" t="s">
        <v>13</v>
      </c>
      <c r="B1283">
        <v>2019</v>
      </c>
      <c r="C1283" s="1">
        <v>43988</v>
      </c>
      <c r="D1283" t="s">
        <v>8</v>
      </c>
      <c r="E1283">
        <v>963302</v>
      </c>
      <c r="F1283">
        <v>10512479</v>
      </c>
      <c r="G1283">
        <v>9.16</v>
      </c>
    </row>
    <row r="1284" spans="1:7" x14ac:dyDescent="0.45">
      <c r="A1284" t="s">
        <v>14</v>
      </c>
      <c r="B1284">
        <v>2019</v>
      </c>
      <c r="C1284" s="1">
        <v>43988</v>
      </c>
      <c r="D1284" t="s">
        <v>8</v>
      </c>
      <c r="E1284">
        <v>183597</v>
      </c>
      <c r="F1284">
        <v>2371396</v>
      </c>
      <c r="G1284">
        <v>7.74</v>
      </c>
    </row>
    <row r="1285" spans="1:7" x14ac:dyDescent="0.45">
      <c r="A1285" t="s">
        <v>15</v>
      </c>
      <c r="B1285">
        <v>2019</v>
      </c>
      <c r="C1285" s="1">
        <v>43988</v>
      </c>
      <c r="D1285" t="s">
        <v>8</v>
      </c>
      <c r="E1285">
        <v>270670</v>
      </c>
      <c r="F1285">
        <v>3691561</v>
      </c>
      <c r="G1285">
        <v>7.33</v>
      </c>
    </row>
    <row r="1286" spans="1:7" x14ac:dyDescent="0.45">
      <c r="A1286" t="s">
        <v>16</v>
      </c>
      <c r="B1286">
        <v>2019</v>
      </c>
      <c r="C1286" s="1">
        <v>43988</v>
      </c>
      <c r="D1286" t="s">
        <v>8</v>
      </c>
      <c r="E1286">
        <v>319012</v>
      </c>
      <c r="F1286">
        <v>3799736</v>
      </c>
      <c r="G1286">
        <v>8.4</v>
      </c>
    </row>
    <row r="1287" spans="1:7" x14ac:dyDescent="0.45">
      <c r="A1287" t="s">
        <v>17</v>
      </c>
      <c r="B1287">
        <v>2019</v>
      </c>
      <c r="C1287" s="1">
        <v>43988</v>
      </c>
      <c r="D1287" t="s">
        <v>8</v>
      </c>
      <c r="E1287">
        <v>706893</v>
      </c>
      <c r="F1287">
        <v>5862386</v>
      </c>
      <c r="G1287">
        <v>12.06</v>
      </c>
    </row>
    <row r="1288" spans="1:7" x14ac:dyDescent="0.45">
      <c r="A1288" t="s">
        <v>18</v>
      </c>
      <c r="B1288">
        <v>2019</v>
      </c>
      <c r="C1288" s="1">
        <v>43988</v>
      </c>
      <c r="D1288" t="s">
        <v>8</v>
      </c>
      <c r="E1288">
        <v>515320</v>
      </c>
      <c r="F1288">
        <v>5077875</v>
      </c>
      <c r="G1288">
        <v>10.15</v>
      </c>
    </row>
    <row r="1289" spans="1:7" x14ac:dyDescent="0.45">
      <c r="A1289" t="s">
        <v>19</v>
      </c>
      <c r="B1289">
        <v>2019</v>
      </c>
      <c r="C1289" s="1">
        <v>43988</v>
      </c>
      <c r="D1289" t="s">
        <v>8</v>
      </c>
      <c r="E1289">
        <v>81812</v>
      </c>
      <c r="F1289">
        <v>617880</v>
      </c>
      <c r="G1289">
        <v>13.24</v>
      </c>
    </row>
    <row r="1290" spans="1:7" x14ac:dyDescent="0.45">
      <c r="A1290" t="s">
        <v>20</v>
      </c>
      <c r="B1290">
        <v>2019</v>
      </c>
      <c r="C1290" s="1">
        <v>43988</v>
      </c>
      <c r="D1290" t="s">
        <v>8</v>
      </c>
      <c r="E1290">
        <v>1601362</v>
      </c>
      <c r="F1290">
        <v>23257363</v>
      </c>
      <c r="G1290">
        <v>6.89</v>
      </c>
    </row>
    <row r="1291" spans="1:7" x14ac:dyDescent="0.45">
      <c r="A1291" t="s">
        <v>21</v>
      </c>
      <c r="B1291">
        <v>2019</v>
      </c>
      <c r="C1291" s="1">
        <v>43988</v>
      </c>
      <c r="D1291" t="s">
        <v>8</v>
      </c>
      <c r="E1291">
        <v>419800</v>
      </c>
      <c r="F1291">
        <v>7094962</v>
      </c>
      <c r="G1291">
        <v>5.92</v>
      </c>
    </row>
    <row r="1292" spans="1:7" x14ac:dyDescent="0.45">
      <c r="A1292" t="s">
        <v>22</v>
      </c>
      <c r="B1292">
        <v>2019</v>
      </c>
      <c r="C1292" s="1">
        <v>43988</v>
      </c>
      <c r="D1292" t="s">
        <v>8</v>
      </c>
      <c r="E1292">
        <v>596975</v>
      </c>
      <c r="F1292">
        <v>4851640</v>
      </c>
      <c r="G1292">
        <v>12.3</v>
      </c>
    </row>
    <row r="1293" spans="1:7" x14ac:dyDescent="0.45">
      <c r="A1293" t="s">
        <v>7</v>
      </c>
      <c r="B1293">
        <v>2019</v>
      </c>
      <c r="C1293" s="1">
        <v>43988</v>
      </c>
      <c r="D1293" t="s">
        <v>23</v>
      </c>
      <c r="E1293">
        <v>31062</v>
      </c>
      <c r="F1293">
        <v>589481</v>
      </c>
      <c r="G1293">
        <v>5.27</v>
      </c>
    </row>
    <row r="1294" spans="1:7" x14ac:dyDescent="0.45">
      <c r="A1294" t="s">
        <v>9</v>
      </c>
      <c r="B1294">
        <v>2019</v>
      </c>
      <c r="C1294" s="1">
        <v>43988</v>
      </c>
      <c r="D1294" t="s">
        <v>23</v>
      </c>
      <c r="E1294">
        <v>53494</v>
      </c>
      <c r="F1294">
        <v>2476087</v>
      </c>
      <c r="G1294">
        <v>2.16</v>
      </c>
    </row>
    <row r="1295" spans="1:7" x14ac:dyDescent="0.45">
      <c r="A1295" t="s">
        <v>10</v>
      </c>
      <c r="B1295">
        <v>2019</v>
      </c>
      <c r="C1295" s="1">
        <v>43988</v>
      </c>
      <c r="D1295" t="s">
        <v>23</v>
      </c>
      <c r="E1295">
        <v>198273</v>
      </c>
      <c r="F1295">
        <v>4789291</v>
      </c>
      <c r="G1295">
        <v>4.1399999999999997</v>
      </c>
    </row>
    <row r="1296" spans="1:7" x14ac:dyDescent="0.45">
      <c r="A1296" t="s">
        <v>11</v>
      </c>
      <c r="B1296">
        <v>2019</v>
      </c>
      <c r="C1296" s="1">
        <v>43988</v>
      </c>
      <c r="D1296" t="s">
        <v>23</v>
      </c>
      <c r="E1296">
        <v>153029</v>
      </c>
      <c r="F1296">
        <v>3019188</v>
      </c>
      <c r="G1296">
        <v>5.07</v>
      </c>
    </row>
    <row r="1297" spans="1:7" x14ac:dyDescent="0.45">
      <c r="A1297" t="s">
        <v>12</v>
      </c>
      <c r="B1297">
        <v>2019</v>
      </c>
      <c r="C1297" s="1">
        <v>43988</v>
      </c>
      <c r="D1297" t="s">
        <v>23</v>
      </c>
      <c r="E1297">
        <v>679827</v>
      </c>
      <c r="F1297">
        <v>18207522</v>
      </c>
      <c r="G1297">
        <v>3.73</v>
      </c>
    </row>
    <row r="1298" spans="1:7" x14ac:dyDescent="0.45">
      <c r="A1298" t="s">
        <v>13</v>
      </c>
      <c r="B1298">
        <v>2019</v>
      </c>
      <c r="C1298" s="1">
        <v>43988</v>
      </c>
      <c r="D1298" t="s">
        <v>23</v>
      </c>
      <c r="E1298">
        <v>430018</v>
      </c>
      <c r="F1298">
        <v>10512479</v>
      </c>
      <c r="G1298">
        <v>4.09</v>
      </c>
    </row>
    <row r="1299" spans="1:7" x14ac:dyDescent="0.45">
      <c r="A1299" t="s">
        <v>15</v>
      </c>
      <c r="B1299">
        <v>2019</v>
      </c>
      <c r="C1299" s="1">
        <v>43988</v>
      </c>
      <c r="D1299" t="s">
        <v>23</v>
      </c>
      <c r="E1299">
        <v>67636</v>
      </c>
      <c r="F1299">
        <v>3691561</v>
      </c>
      <c r="G1299">
        <v>1.83</v>
      </c>
    </row>
    <row r="1300" spans="1:7" x14ac:dyDescent="0.45">
      <c r="A1300" t="s">
        <v>16</v>
      </c>
      <c r="B1300">
        <v>2019</v>
      </c>
      <c r="C1300" s="1">
        <v>43988</v>
      </c>
      <c r="D1300" t="s">
        <v>23</v>
      </c>
      <c r="E1300">
        <v>94542</v>
      </c>
      <c r="F1300">
        <v>3799736</v>
      </c>
      <c r="G1300">
        <v>2.4900000000000002</v>
      </c>
    </row>
    <row r="1301" spans="1:7" x14ac:dyDescent="0.45">
      <c r="A1301" t="s">
        <v>17</v>
      </c>
      <c r="B1301">
        <v>2019</v>
      </c>
      <c r="C1301" s="1">
        <v>43988</v>
      </c>
      <c r="D1301" t="s">
        <v>23</v>
      </c>
      <c r="E1301">
        <v>387174</v>
      </c>
      <c r="F1301">
        <v>5862386</v>
      </c>
      <c r="G1301">
        <v>6.6</v>
      </c>
    </row>
    <row r="1302" spans="1:7" x14ac:dyDescent="0.45">
      <c r="A1302" t="s">
        <v>18</v>
      </c>
      <c r="B1302">
        <v>2019</v>
      </c>
      <c r="C1302" s="1">
        <v>43988</v>
      </c>
      <c r="D1302" t="s">
        <v>23</v>
      </c>
      <c r="E1302">
        <v>152925</v>
      </c>
      <c r="F1302">
        <v>5077875</v>
      </c>
      <c r="G1302">
        <v>3.01</v>
      </c>
    </row>
    <row r="1303" spans="1:7" x14ac:dyDescent="0.45">
      <c r="A1303" t="s">
        <v>19</v>
      </c>
      <c r="B1303">
        <v>2019</v>
      </c>
      <c r="C1303" s="1">
        <v>43988</v>
      </c>
      <c r="D1303" t="s">
        <v>23</v>
      </c>
      <c r="E1303">
        <v>15537</v>
      </c>
      <c r="F1303">
        <v>617880</v>
      </c>
      <c r="G1303">
        <v>2.5099999999999998</v>
      </c>
    </row>
    <row r="1304" spans="1:7" x14ac:dyDescent="0.45">
      <c r="A1304" t="s">
        <v>24</v>
      </c>
      <c r="B1304">
        <v>2019</v>
      </c>
      <c r="C1304" s="1">
        <v>43988</v>
      </c>
      <c r="D1304" t="s">
        <v>23</v>
      </c>
      <c r="E1304">
        <v>105953</v>
      </c>
      <c r="F1304">
        <v>3547474</v>
      </c>
      <c r="G1304">
        <v>2.99</v>
      </c>
    </row>
    <row r="1305" spans="1:7" x14ac:dyDescent="0.45">
      <c r="A1305" t="s">
        <v>20</v>
      </c>
      <c r="B1305">
        <v>2019</v>
      </c>
      <c r="C1305" s="1">
        <v>43988</v>
      </c>
      <c r="D1305" t="s">
        <v>23</v>
      </c>
      <c r="E1305">
        <v>658975</v>
      </c>
      <c r="F1305">
        <v>23257363</v>
      </c>
      <c r="G1305">
        <v>2.83</v>
      </c>
    </row>
    <row r="1306" spans="1:7" x14ac:dyDescent="0.45">
      <c r="A1306" t="s">
        <v>21</v>
      </c>
      <c r="B1306">
        <v>2019</v>
      </c>
      <c r="C1306" s="1">
        <v>43988</v>
      </c>
      <c r="D1306" t="s">
        <v>23</v>
      </c>
      <c r="E1306">
        <v>267297</v>
      </c>
      <c r="F1306">
        <v>7094962</v>
      </c>
      <c r="G1306">
        <v>3.77</v>
      </c>
    </row>
    <row r="1307" spans="1:7" x14ac:dyDescent="0.45">
      <c r="A1307" t="s">
        <v>22</v>
      </c>
      <c r="B1307">
        <v>2019</v>
      </c>
      <c r="C1307" s="1">
        <v>43988</v>
      </c>
      <c r="D1307" t="s">
        <v>23</v>
      </c>
      <c r="E1307">
        <v>165393</v>
      </c>
      <c r="F1307">
        <v>4851640</v>
      </c>
      <c r="G1307">
        <v>3.41</v>
      </c>
    </row>
    <row r="1308" spans="1:7" x14ac:dyDescent="0.45">
      <c r="A1308" t="s">
        <v>7</v>
      </c>
      <c r="B1308">
        <v>2019</v>
      </c>
      <c r="C1308" s="1">
        <v>43988</v>
      </c>
      <c r="D1308" t="s">
        <v>25</v>
      </c>
      <c r="E1308">
        <v>67704</v>
      </c>
      <c r="F1308">
        <v>589481</v>
      </c>
      <c r="G1308">
        <v>11.49</v>
      </c>
    </row>
    <row r="1309" spans="1:7" x14ac:dyDescent="0.45">
      <c r="A1309" t="s">
        <v>9</v>
      </c>
      <c r="B1309">
        <v>2019</v>
      </c>
      <c r="C1309" s="1">
        <v>43988</v>
      </c>
      <c r="D1309" t="s">
        <v>25</v>
      </c>
      <c r="E1309">
        <v>221077</v>
      </c>
      <c r="F1309">
        <v>2476087</v>
      </c>
      <c r="G1309">
        <v>8.93</v>
      </c>
    </row>
    <row r="1310" spans="1:7" x14ac:dyDescent="0.45">
      <c r="A1310" t="s">
        <v>10</v>
      </c>
      <c r="B1310">
        <v>2019</v>
      </c>
      <c r="C1310" s="1">
        <v>43988</v>
      </c>
      <c r="D1310" t="s">
        <v>25</v>
      </c>
      <c r="E1310">
        <v>525699</v>
      </c>
      <c r="F1310">
        <v>4789291</v>
      </c>
      <c r="G1310">
        <v>10.98</v>
      </c>
    </row>
    <row r="1311" spans="1:7" x14ac:dyDescent="0.45">
      <c r="A1311" t="s">
        <v>11</v>
      </c>
      <c r="B1311">
        <v>2019</v>
      </c>
      <c r="C1311" s="1">
        <v>43988</v>
      </c>
      <c r="D1311" t="s">
        <v>25</v>
      </c>
      <c r="E1311">
        <v>227248</v>
      </c>
      <c r="F1311">
        <v>3019188</v>
      </c>
      <c r="G1311">
        <v>7.53</v>
      </c>
    </row>
    <row r="1312" spans="1:7" x14ac:dyDescent="0.45">
      <c r="A1312" t="s">
        <v>12</v>
      </c>
      <c r="B1312">
        <v>2019</v>
      </c>
      <c r="C1312" s="1">
        <v>43988</v>
      </c>
      <c r="D1312" t="s">
        <v>25</v>
      </c>
      <c r="E1312">
        <v>1566999</v>
      </c>
      <c r="F1312">
        <v>18207522</v>
      </c>
      <c r="G1312">
        <v>8.61</v>
      </c>
    </row>
    <row r="1313" spans="1:7" x14ac:dyDescent="0.45">
      <c r="A1313" t="s">
        <v>13</v>
      </c>
      <c r="B1313">
        <v>2019</v>
      </c>
      <c r="C1313" s="1">
        <v>43988</v>
      </c>
      <c r="D1313" t="s">
        <v>25</v>
      </c>
      <c r="E1313">
        <v>1059736</v>
      </c>
      <c r="F1313">
        <v>10512479</v>
      </c>
      <c r="G1313">
        <v>10.08</v>
      </c>
    </row>
    <row r="1314" spans="1:7" x14ac:dyDescent="0.45">
      <c r="A1314" t="s">
        <v>14</v>
      </c>
      <c r="B1314">
        <v>2019</v>
      </c>
      <c r="C1314" s="1">
        <v>43988</v>
      </c>
      <c r="D1314" t="s">
        <v>25</v>
      </c>
      <c r="E1314">
        <v>231590</v>
      </c>
      <c r="F1314">
        <v>2371396</v>
      </c>
      <c r="G1314">
        <v>9.77</v>
      </c>
    </row>
    <row r="1315" spans="1:7" x14ac:dyDescent="0.45">
      <c r="A1315" t="s">
        <v>15</v>
      </c>
      <c r="B1315">
        <v>2019</v>
      </c>
      <c r="C1315" s="1">
        <v>43988</v>
      </c>
      <c r="D1315" t="s">
        <v>25</v>
      </c>
      <c r="E1315">
        <v>238009</v>
      </c>
      <c r="F1315">
        <v>3691561</v>
      </c>
      <c r="G1315">
        <v>6.45</v>
      </c>
    </row>
    <row r="1316" spans="1:7" x14ac:dyDescent="0.45">
      <c r="A1316" t="s">
        <v>17</v>
      </c>
      <c r="B1316">
        <v>2019</v>
      </c>
      <c r="C1316" s="1">
        <v>43988</v>
      </c>
      <c r="D1316" t="s">
        <v>25</v>
      </c>
      <c r="E1316">
        <v>510718</v>
      </c>
      <c r="F1316">
        <v>5862386</v>
      </c>
      <c r="G1316">
        <v>8.7100000000000009</v>
      </c>
    </row>
    <row r="1317" spans="1:7" x14ac:dyDescent="0.45">
      <c r="A1317" t="s">
        <v>18</v>
      </c>
      <c r="B1317">
        <v>2019</v>
      </c>
      <c r="C1317" s="1">
        <v>43988</v>
      </c>
      <c r="D1317" t="s">
        <v>25</v>
      </c>
      <c r="E1317">
        <v>497443</v>
      </c>
      <c r="F1317">
        <v>5077875</v>
      </c>
      <c r="G1317">
        <v>9.8000000000000007</v>
      </c>
    </row>
    <row r="1318" spans="1:7" x14ac:dyDescent="0.45">
      <c r="A1318" t="s">
        <v>19</v>
      </c>
      <c r="B1318">
        <v>2019</v>
      </c>
      <c r="C1318" s="1">
        <v>43988</v>
      </c>
      <c r="D1318" t="s">
        <v>25</v>
      </c>
      <c r="E1318">
        <v>93533</v>
      </c>
      <c r="F1318">
        <v>617880</v>
      </c>
      <c r="G1318">
        <v>15.14</v>
      </c>
    </row>
    <row r="1319" spans="1:7" x14ac:dyDescent="0.45">
      <c r="A1319" t="s">
        <v>24</v>
      </c>
      <c r="B1319">
        <v>2019</v>
      </c>
      <c r="C1319" s="1">
        <v>43988</v>
      </c>
      <c r="D1319" t="s">
        <v>25</v>
      </c>
      <c r="E1319">
        <v>394097</v>
      </c>
      <c r="F1319">
        <v>3547474</v>
      </c>
      <c r="G1319">
        <v>11.11</v>
      </c>
    </row>
    <row r="1320" spans="1:7" x14ac:dyDescent="0.45">
      <c r="A1320" t="s">
        <v>20</v>
      </c>
      <c r="B1320">
        <v>2019</v>
      </c>
      <c r="C1320" s="1">
        <v>43988</v>
      </c>
      <c r="D1320" t="s">
        <v>25</v>
      </c>
      <c r="E1320">
        <v>2698772</v>
      </c>
      <c r="F1320">
        <v>23257363</v>
      </c>
      <c r="G1320">
        <v>11.6</v>
      </c>
    </row>
    <row r="1321" spans="1:7" x14ac:dyDescent="0.45">
      <c r="A1321" t="s">
        <v>21</v>
      </c>
      <c r="B1321">
        <v>2019</v>
      </c>
      <c r="C1321" s="1">
        <v>43988</v>
      </c>
      <c r="D1321" t="s">
        <v>25</v>
      </c>
      <c r="E1321">
        <v>590770</v>
      </c>
      <c r="F1321">
        <v>7094962</v>
      </c>
      <c r="G1321">
        <v>8.33</v>
      </c>
    </row>
    <row r="1322" spans="1:7" x14ac:dyDescent="0.45">
      <c r="A1322" t="s">
        <v>7</v>
      </c>
      <c r="B1322">
        <v>2019</v>
      </c>
      <c r="C1322" s="1">
        <v>44019</v>
      </c>
      <c r="D1322" t="s">
        <v>8</v>
      </c>
      <c r="E1322">
        <v>77748</v>
      </c>
      <c r="F1322">
        <v>589481</v>
      </c>
      <c r="G1322">
        <v>13.19</v>
      </c>
    </row>
    <row r="1323" spans="1:7" x14ac:dyDescent="0.45">
      <c r="A1323" t="s">
        <v>9</v>
      </c>
      <c r="B1323">
        <v>2019</v>
      </c>
      <c r="C1323" s="1">
        <v>44019</v>
      </c>
      <c r="D1323" t="s">
        <v>8</v>
      </c>
      <c r="E1323">
        <v>129611</v>
      </c>
      <c r="F1323">
        <v>2476087</v>
      </c>
      <c r="G1323">
        <v>5.23</v>
      </c>
    </row>
    <row r="1324" spans="1:7" x14ac:dyDescent="0.45">
      <c r="A1324" t="s">
        <v>10</v>
      </c>
      <c r="B1324">
        <v>2019</v>
      </c>
      <c r="C1324" s="1">
        <v>44019</v>
      </c>
      <c r="D1324" t="s">
        <v>8</v>
      </c>
      <c r="E1324">
        <v>470020</v>
      </c>
      <c r="F1324">
        <v>4789291</v>
      </c>
      <c r="G1324">
        <v>9.81</v>
      </c>
    </row>
    <row r="1325" spans="1:7" x14ac:dyDescent="0.45">
      <c r="A1325" t="s">
        <v>11</v>
      </c>
      <c r="B1325">
        <v>2019</v>
      </c>
      <c r="C1325" s="1">
        <v>44019</v>
      </c>
      <c r="D1325" t="s">
        <v>8</v>
      </c>
      <c r="E1325">
        <v>272957</v>
      </c>
      <c r="F1325">
        <v>3019188</v>
      </c>
      <c r="G1325">
        <v>9.0399999999999991</v>
      </c>
    </row>
    <row r="1326" spans="1:7" x14ac:dyDescent="0.45">
      <c r="A1326" t="s">
        <v>12</v>
      </c>
      <c r="B1326">
        <v>2019</v>
      </c>
      <c r="C1326" s="1">
        <v>44019</v>
      </c>
      <c r="D1326" t="s">
        <v>8</v>
      </c>
      <c r="E1326">
        <v>1348207</v>
      </c>
      <c r="F1326">
        <v>18207522</v>
      </c>
      <c r="G1326">
        <v>7.4</v>
      </c>
    </row>
    <row r="1327" spans="1:7" x14ac:dyDescent="0.45">
      <c r="A1327" t="s">
        <v>13</v>
      </c>
      <c r="B1327">
        <v>2019</v>
      </c>
      <c r="C1327" s="1">
        <v>44019</v>
      </c>
      <c r="D1327" t="s">
        <v>8</v>
      </c>
      <c r="E1327">
        <v>651884</v>
      </c>
      <c r="F1327">
        <v>10512479</v>
      </c>
      <c r="G1327">
        <v>6.2</v>
      </c>
    </row>
    <row r="1328" spans="1:7" x14ac:dyDescent="0.45">
      <c r="A1328" t="s">
        <v>14</v>
      </c>
      <c r="B1328">
        <v>2019</v>
      </c>
      <c r="C1328" s="1">
        <v>44019</v>
      </c>
      <c r="D1328" t="s">
        <v>8</v>
      </c>
      <c r="E1328">
        <v>130942</v>
      </c>
      <c r="F1328">
        <v>2371396</v>
      </c>
      <c r="G1328">
        <v>5.52</v>
      </c>
    </row>
    <row r="1329" spans="1:7" x14ac:dyDescent="0.45">
      <c r="A1329" t="s">
        <v>15</v>
      </c>
      <c r="B1329">
        <v>2019</v>
      </c>
      <c r="C1329" s="1">
        <v>44019</v>
      </c>
      <c r="D1329" t="s">
        <v>8</v>
      </c>
      <c r="E1329">
        <v>315789</v>
      </c>
      <c r="F1329">
        <v>3691561</v>
      </c>
      <c r="G1329">
        <v>8.5500000000000007</v>
      </c>
    </row>
    <row r="1330" spans="1:7" x14ac:dyDescent="0.45">
      <c r="A1330" t="s">
        <v>16</v>
      </c>
      <c r="B1330">
        <v>2019</v>
      </c>
      <c r="C1330" s="1">
        <v>44019</v>
      </c>
      <c r="D1330" t="s">
        <v>8</v>
      </c>
      <c r="E1330">
        <v>312172</v>
      </c>
      <c r="F1330">
        <v>3799736</v>
      </c>
      <c r="G1330">
        <v>8.2200000000000006</v>
      </c>
    </row>
    <row r="1331" spans="1:7" x14ac:dyDescent="0.45">
      <c r="A1331" t="s">
        <v>17</v>
      </c>
      <c r="B1331">
        <v>2019</v>
      </c>
      <c r="C1331" s="1">
        <v>44019</v>
      </c>
      <c r="D1331" t="s">
        <v>8</v>
      </c>
      <c r="E1331">
        <v>437669</v>
      </c>
      <c r="F1331">
        <v>5862386</v>
      </c>
      <c r="G1331">
        <v>7.47</v>
      </c>
    </row>
    <row r="1332" spans="1:7" x14ac:dyDescent="0.45">
      <c r="A1332" t="s">
        <v>18</v>
      </c>
      <c r="B1332">
        <v>2019</v>
      </c>
      <c r="C1332" s="1">
        <v>44019</v>
      </c>
      <c r="D1332" t="s">
        <v>8</v>
      </c>
      <c r="E1332">
        <v>444657</v>
      </c>
      <c r="F1332">
        <v>5077875</v>
      </c>
      <c r="G1332">
        <v>8.76</v>
      </c>
    </row>
    <row r="1333" spans="1:7" x14ac:dyDescent="0.45">
      <c r="A1333" t="s">
        <v>19</v>
      </c>
      <c r="B1333">
        <v>2019</v>
      </c>
      <c r="C1333" s="1">
        <v>44019</v>
      </c>
      <c r="D1333" t="s">
        <v>8</v>
      </c>
      <c r="E1333">
        <v>71335</v>
      </c>
      <c r="F1333">
        <v>617880</v>
      </c>
      <c r="G1333">
        <v>11.55</v>
      </c>
    </row>
    <row r="1334" spans="1:7" x14ac:dyDescent="0.45">
      <c r="A1334" t="s">
        <v>20</v>
      </c>
      <c r="B1334">
        <v>2019</v>
      </c>
      <c r="C1334" s="1">
        <v>44019</v>
      </c>
      <c r="D1334" t="s">
        <v>8</v>
      </c>
      <c r="E1334">
        <v>1322515</v>
      </c>
      <c r="F1334">
        <v>23257363</v>
      </c>
      <c r="G1334">
        <v>5.69</v>
      </c>
    </row>
    <row r="1335" spans="1:7" x14ac:dyDescent="0.45">
      <c r="A1335" t="s">
        <v>21</v>
      </c>
      <c r="B1335">
        <v>2019</v>
      </c>
      <c r="C1335" s="1">
        <v>44019</v>
      </c>
      <c r="D1335" t="s">
        <v>8</v>
      </c>
      <c r="E1335">
        <v>423424</v>
      </c>
      <c r="F1335">
        <v>7094962</v>
      </c>
      <c r="G1335">
        <v>5.97</v>
      </c>
    </row>
    <row r="1336" spans="1:7" x14ac:dyDescent="0.45">
      <c r="A1336" t="s">
        <v>22</v>
      </c>
      <c r="B1336">
        <v>2019</v>
      </c>
      <c r="C1336" s="1">
        <v>44019</v>
      </c>
      <c r="D1336" t="s">
        <v>8</v>
      </c>
      <c r="E1336">
        <v>643755</v>
      </c>
      <c r="F1336">
        <v>4851640</v>
      </c>
      <c r="G1336">
        <v>13.27</v>
      </c>
    </row>
    <row r="1337" spans="1:7" x14ac:dyDescent="0.45">
      <c r="A1337" t="s">
        <v>7</v>
      </c>
      <c r="B1337">
        <v>2019</v>
      </c>
      <c r="C1337" s="1">
        <v>44019</v>
      </c>
      <c r="D1337" t="s">
        <v>23</v>
      </c>
      <c r="E1337">
        <v>31969</v>
      </c>
      <c r="F1337">
        <v>589481</v>
      </c>
      <c r="G1337">
        <v>5.42</v>
      </c>
    </row>
    <row r="1338" spans="1:7" x14ac:dyDescent="0.45">
      <c r="A1338" t="s">
        <v>9</v>
      </c>
      <c r="B1338">
        <v>2019</v>
      </c>
      <c r="C1338" s="1">
        <v>44019</v>
      </c>
      <c r="D1338" t="s">
        <v>23</v>
      </c>
      <c r="E1338">
        <v>49012</v>
      </c>
      <c r="F1338">
        <v>2476087</v>
      </c>
      <c r="G1338">
        <v>1.98</v>
      </c>
    </row>
    <row r="1339" spans="1:7" x14ac:dyDescent="0.45">
      <c r="A1339" t="s">
        <v>10</v>
      </c>
      <c r="B1339">
        <v>2019</v>
      </c>
      <c r="C1339" s="1">
        <v>44019</v>
      </c>
      <c r="D1339" t="s">
        <v>23</v>
      </c>
      <c r="E1339">
        <v>202375</v>
      </c>
      <c r="F1339">
        <v>4789291</v>
      </c>
      <c r="G1339">
        <v>4.2300000000000004</v>
      </c>
    </row>
    <row r="1340" spans="1:7" x14ac:dyDescent="0.45">
      <c r="A1340" t="s">
        <v>11</v>
      </c>
      <c r="B1340">
        <v>2019</v>
      </c>
      <c r="C1340" s="1">
        <v>44019</v>
      </c>
      <c r="D1340" t="s">
        <v>23</v>
      </c>
      <c r="E1340">
        <v>143362</v>
      </c>
      <c r="F1340">
        <v>3019188</v>
      </c>
      <c r="G1340">
        <v>4.75</v>
      </c>
    </row>
    <row r="1341" spans="1:7" x14ac:dyDescent="0.45">
      <c r="A1341" t="s">
        <v>12</v>
      </c>
      <c r="B1341">
        <v>2019</v>
      </c>
      <c r="C1341" s="1">
        <v>44019</v>
      </c>
      <c r="D1341" t="s">
        <v>23</v>
      </c>
      <c r="E1341">
        <v>642137</v>
      </c>
      <c r="F1341">
        <v>18207522</v>
      </c>
      <c r="G1341">
        <v>3.53</v>
      </c>
    </row>
    <row r="1342" spans="1:7" x14ac:dyDescent="0.45">
      <c r="A1342" t="s">
        <v>13</v>
      </c>
      <c r="B1342">
        <v>2019</v>
      </c>
      <c r="C1342" s="1">
        <v>44019</v>
      </c>
      <c r="D1342" t="s">
        <v>23</v>
      </c>
      <c r="E1342">
        <v>371423</v>
      </c>
      <c r="F1342">
        <v>10512479</v>
      </c>
      <c r="G1342">
        <v>3.53</v>
      </c>
    </row>
    <row r="1343" spans="1:7" x14ac:dyDescent="0.45">
      <c r="A1343" t="s">
        <v>15</v>
      </c>
      <c r="B1343">
        <v>2019</v>
      </c>
      <c r="C1343" s="1">
        <v>44019</v>
      </c>
      <c r="D1343" t="s">
        <v>23</v>
      </c>
      <c r="E1343">
        <v>72031</v>
      </c>
      <c r="F1343">
        <v>3691561</v>
      </c>
      <c r="G1343">
        <v>1.95</v>
      </c>
    </row>
    <row r="1344" spans="1:7" x14ac:dyDescent="0.45">
      <c r="A1344" t="s">
        <v>16</v>
      </c>
      <c r="B1344">
        <v>2019</v>
      </c>
      <c r="C1344" s="1">
        <v>44019</v>
      </c>
      <c r="D1344" t="s">
        <v>23</v>
      </c>
      <c r="E1344">
        <v>101885</v>
      </c>
      <c r="F1344">
        <v>3799736</v>
      </c>
      <c r="G1344">
        <v>2.68</v>
      </c>
    </row>
    <row r="1345" spans="1:7" x14ac:dyDescent="0.45">
      <c r="A1345" t="s">
        <v>17</v>
      </c>
      <c r="B1345">
        <v>2019</v>
      </c>
      <c r="C1345" s="1">
        <v>44019</v>
      </c>
      <c r="D1345" t="s">
        <v>23</v>
      </c>
      <c r="E1345">
        <v>249332</v>
      </c>
      <c r="F1345">
        <v>5862386</v>
      </c>
      <c r="G1345">
        <v>4.25</v>
      </c>
    </row>
    <row r="1346" spans="1:7" x14ac:dyDescent="0.45">
      <c r="A1346" t="s">
        <v>18</v>
      </c>
      <c r="B1346">
        <v>2019</v>
      </c>
      <c r="C1346" s="1">
        <v>44019</v>
      </c>
      <c r="D1346" t="s">
        <v>23</v>
      </c>
      <c r="E1346">
        <v>138636</v>
      </c>
      <c r="F1346">
        <v>5077875</v>
      </c>
      <c r="G1346">
        <v>2.73</v>
      </c>
    </row>
    <row r="1347" spans="1:7" x14ac:dyDescent="0.45">
      <c r="A1347" t="s">
        <v>19</v>
      </c>
      <c r="B1347">
        <v>2019</v>
      </c>
      <c r="C1347" s="1">
        <v>44019</v>
      </c>
      <c r="D1347" t="s">
        <v>23</v>
      </c>
      <c r="E1347">
        <v>15007</v>
      </c>
      <c r="F1347">
        <v>617880</v>
      </c>
      <c r="G1347">
        <v>2.4300000000000002</v>
      </c>
    </row>
    <row r="1348" spans="1:7" x14ac:dyDescent="0.45">
      <c r="A1348" t="s">
        <v>24</v>
      </c>
      <c r="B1348">
        <v>2019</v>
      </c>
      <c r="C1348" s="1">
        <v>44019</v>
      </c>
      <c r="D1348" t="s">
        <v>23</v>
      </c>
      <c r="E1348">
        <v>193244</v>
      </c>
      <c r="F1348">
        <v>3547474</v>
      </c>
      <c r="G1348">
        <v>5.45</v>
      </c>
    </row>
    <row r="1349" spans="1:7" x14ac:dyDescent="0.45">
      <c r="A1349" t="s">
        <v>20</v>
      </c>
      <c r="B1349">
        <v>2019</v>
      </c>
      <c r="C1349" s="1">
        <v>44019</v>
      </c>
      <c r="D1349" t="s">
        <v>23</v>
      </c>
      <c r="E1349">
        <v>628923</v>
      </c>
      <c r="F1349">
        <v>23257363</v>
      </c>
      <c r="G1349">
        <v>2.7</v>
      </c>
    </row>
    <row r="1350" spans="1:7" x14ac:dyDescent="0.45">
      <c r="A1350" t="s">
        <v>21</v>
      </c>
      <c r="B1350">
        <v>2019</v>
      </c>
      <c r="C1350" s="1">
        <v>44019</v>
      </c>
      <c r="D1350" t="s">
        <v>23</v>
      </c>
      <c r="E1350">
        <v>281795</v>
      </c>
      <c r="F1350">
        <v>7094962</v>
      </c>
      <c r="G1350">
        <v>3.97</v>
      </c>
    </row>
    <row r="1351" spans="1:7" x14ac:dyDescent="0.45">
      <c r="A1351" t="s">
        <v>22</v>
      </c>
      <c r="B1351">
        <v>2019</v>
      </c>
      <c r="C1351" s="1">
        <v>44019</v>
      </c>
      <c r="D1351" t="s">
        <v>23</v>
      </c>
      <c r="E1351">
        <v>168503</v>
      </c>
      <c r="F1351">
        <v>4851640</v>
      </c>
      <c r="G1351">
        <v>3.47</v>
      </c>
    </row>
    <row r="1352" spans="1:7" x14ac:dyDescent="0.45">
      <c r="A1352" t="s">
        <v>7</v>
      </c>
      <c r="B1352">
        <v>2019</v>
      </c>
      <c r="C1352" s="1">
        <v>44019</v>
      </c>
      <c r="D1352" t="s">
        <v>25</v>
      </c>
      <c r="E1352">
        <v>76791</v>
      </c>
      <c r="F1352">
        <v>589481</v>
      </c>
      <c r="G1352">
        <v>13.03</v>
      </c>
    </row>
    <row r="1353" spans="1:7" x14ac:dyDescent="0.45">
      <c r="A1353" t="s">
        <v>9</v>
      </c>
      <c r="B1353">
        <v>2019</v>
      </c>
      <c r="C1353" s="1">
        <v>44019</v>
      </c>
      <c r="D1353" t="s">
        <v>25</v>
      </c>
      <c r="E1353">
        <v>190735</v>
      </c>
      <c r="F1353">
        <v>2476087</v>
      </c>
      <c r="G1353">
        <v>7.7</v>
      </c>
    </row>
    <row r="1354" spans="1:7" x14ac:dyDescent="0.45">
      <c r="A1354" t="s">
        <v>10</v>
      </c>
      <c r="B1354">
        <v>2019</v>
      </c>
      <c r="C1354" s="1">
        <v>44019</v>
      </c>
      <c r="D1354" t="s">
        <v>25</v>
      </c>
      <c r="E1354">
        <v>539510</v>
      </c>
      <c r="F1354">
        <v>4789291</v>
      </c>
      <c r="G1354">
        <v>11.26</v>
      </c>
    </row>
    <row r="1355" spans="1:7" x14ac:dyDescent="0.45">
      <c r="A1355" t="s">
        <v>11</v>
      </c>
      <c r="B1355">
        <v>2019</v>
      </c>
      <c r="C1355" s="1">
        <v>44019</v>
      </c>
      <c r="D1355" t="s">
        <v>25</v>
      </c>
      <c r="E1355">
        <v>252228</v>
      </c>
      <c r="F1355">
        <v>3019188</v>
      </c>
      <c r="G1355">
        <v>8.35</v>
      </c>
    </row>
    <row r="1356" spans="1:7" x14ac:dyDescent="0.45">
      <c r="A1356" t="s">
        <v>12</v>
      </c>
      <c r="B1356">
        <v>2019</v>
      </c>
      <c r="C1356" s="1">
        <v>44019</v>
      </c>
      <c r="D1356" t="s">
        <v>25</v>
      </c>
      <c r="E1356">
        <v>1611943</v>
      </c>
      <c r="F1356">
        <v>18207522</v>
      </c>
      <c r="G1356">
        <v>8.85</v>
      </c>
    </row>
    <row r="1357" spans="1:7" x14ac:dyDescent="0.45">
      <c r="A1357" t="s">
        <v>13</v>
      </c>
      <c r="B1357">
        <v>2019</v>
      </c>
      <c r="C1357" s="1">
        <v>44019</v>
      </c>
      <c r="D1357" t="s">
        <v>25</v>
      </c>
      <c r="E1357">
        <v>1127111</v>
      </c>
      <c r="F1357">
        <v>10512479</v>
      </c>
      <c r="G1357">
        <v>10.72</v>
      </c>
    </row>
    <row r="1358" spans="1:7" x14ac:dyDescent="0.45">
      <c r="A1358" t="s">
        <v>14</v>
      </c>
      <c r="B1358">
        <v>2019</v>
      </c>
      <c r="C1358" s="1">
        <v>44019</v>
      </c>
      <c r="D1358" t="s">
        <v>25</v>
      </c>
      <c r="E1358">
        <v>226334</v>
      </c>
      <c r="F1358">
        <v>2371396</v>
      </c>
      <c r="G1358">
        <v>9.5399999999999991</v>
      </c>
    </row>
    <row r="1359" spans="1:7" x14ac:dyDescent="0.45">
      <c r="A1359" t="s">
        <v>15</v>
      </c>
      <c r="B1359">
        <v>2019</v>
      </c>
      <c r="C1359" s="1">
        <v>44019</v>
      </c>
      <c r="D1359" t="s">
        <v>25</v>
      </c>
      <c r="E1359">
        <v>372029</v>
      </c>
      <c r="F1359">
        <v>3691561</v>
      </c>
      <c r="G1359">
        <v>10.08</v>
      </c>
    </row>
    <row r="1360" spans="1:7" x14ac:dyDescent="0.45">
      <c r="A1360" t="s">
        <v>17</v>
      </c>
      <c r="B1360">
        <v>2019</v>
      </c>
      <c r="C1360" s="1">
        <v>44019</v>
      </c>
      <c r="D1360" t="s">
        <v>25</v>
      </c>
      <c r="E1360">
        <v>541016</v>
      </c>
      <c r="F1360">
        <v>5862386</v>
      </c>
      <c r="G1360">
        <v>9.23</v>
      </c>
    </row>
    <row r="1361" spans="1:7" x14ac:dyDescent="0.45">
      <c r="A1361" t="s">
        <v>18</v>
      </c>
      <c r="B1361">
        <v>2019</v>
      </c>
      <c r="C1361" s="1">
        <v>44019</v>
      </c>
      <c r="D1361" t="s">
        <v>25</v>
      </c>
      <c r="E1361">
        <v>488277</v>
      </c>
      <c r="F1361">
        <v>5077875</v>
      </c>
      <c r="G1361">
        <v>9.6199999999999992</v>
      </c>
    </row>
    <row r="1362" spans="1:7" x14ac:dyDescent="0.45">
      <c r="A1362" t="s">
        <v>19</v>
      </c>
      <c r="B1362">
        <v>2019</v>
      </c>
      <c r="C1362" s="1">
        <v>44019</v>
      </c>
      <c r="D1362" t="s">
        <v>25</v>
      </c>
      <c r="E1362">
        <v>93470</v>
      </c>
      <c r="F1362">
        <v>617880</v>
      </c>
      <c r="G1362">
        <v>15.13</v>
      </c>
    </row>
    <row r="1363" spans="1:7" x14ac:dyDescent="0.45">
      <c r="A1363" t="s">
        <v>24</v>
      </c>
      <c r="B1363">
        <v>2019</v>
      </c>
      <c r="C1363" s="1">
        <v>44019</v>
      </c>
      <c r="D1363" t="s">
        <v>25</v>
      </c>
      <c r="E1363">
        <v>403963</v>
      </c>
      <c r="F1363">
        <v>3547474</v>
      </c>
      <c r="G1363">
        <v>11.39</v>
      </c>
    </row>
    <row r="1364" spans="1:7" x14ac:dyDescent="0.45">
      <c r="A1364" t="s">
        <v>20</v>
      </c>
      <c r="B1364">
        <v>2019</v>
      </c>
      <c r="C1364" s="1">
        <v>44019</v>
      </c>
      <c r="D1364" t="s">
        <v>25</v>
      </c>
      <c r="E1364">
        <v>2467091</v>
      </c>
      <c r="F1364">
        <v>23257363</v>
      </c>
      <c r="G1364">
        <v>10.61</v>
      </c>
    </row>
    <row r="1365" spans="1:7" x14ac:dyDescent="0.45">
      <c r="A1365" t="s">
        <v>21</v>
      </c>
      <c r="B1365">
        <v>2019</v>
      </c>
      <c r="C1365" s="1">
        <v>44019</v>
      </c>
      <c r="D1365" t="s">
        <v>25</v>
      </c>
      <c r="E1365">
        <v>636358</v>
      </c>
      <c r="F1365">
        <v>7094962</v>
      </c>
      <c r="G1365">
        <v>8.9700000000000006</v>
      </c>
    </row>
    <row r="1366" spans="1:7" x14ac:dyDescent="0.45">
      <c r="A1366" t="s">
        <v>7</v>
      </c>
      <c r="B1366">
        <v>2019</v>
      </c>
      <c r="C1366" s="1">
        <v>44051</v>
      </c>
      <c r="D1366" t="s">
        <v>8</v>
      </c>
      <c r="E1366">
        <v>70082</v>
      </c>
      <c r="F1366">
        <v>589481</v>
      </c>
      <c r="G1366">
        <v>11.89</v>
      </c>
    </row>
    <row r="1367" spans="1:7" x14ac:dyDescent="0.45">
      <c r="A1367" t="s">
        <v>9</v>
      </c>
      <c r="B1367">
        <v>2019</v>
      </c>
      <c r="C1367" s="1">
        <v>44051</v>
      </c>
      <c r="D1367" t="s">
        <v>8</v>
      </c>
      <c r="E1367">
        <v>121852</v>
      </c>
      <c r="F1367">
        <v>2476087</v>
      </c>
      <c r="G1367">
        <v>4.92</v>
      </c>
    </row>
    <row r="1368" spans="1:7" x14ac:dyDescent="0.45">
      <c r="A1368" t="s">
        <v>10</v>
      </c>
      <c r="B1368">
        <v>2019</v>
      </c>
      <c r="C1368" s="1">
        <v>44051</v>
      </c>
      <c r="D1368" t="s">
        <v>8</v>
      </c>
      <c r="E1368">
        <v>517531</v>
      </c>
      <c r="F1368">
        <v>4789291</v>
      </c>
      <c r="G1368">
        <v>10.81</v>
      </c>
    </row>
    <row r="1369" spans="1:7" x14ac:dyDescent="0.45">
      <c r="A1369" t="s">
        <v>11</v>
      </c>
      <c r="B1369">
        <v>2019</v>
      </c>
      <c r="C1369" s="1">
        <v>44051</v>
      </c>
      <c r="D1369" t="s">
        <v>8</v>
      </c>
      <c r="E1369">
        <v>237043</v>
      </c>
      <c r="F1369">
        <v>3019188</v>
      </c>
      <c r="G1369">
        <v>7.85</v>
      </c>
    </row>
    <row r="1370" spans="1:7" x14ac:dyDescent="0.45">
      <c r="A1370" t="s">
        <v>12</v>
      </c>
      <c r="B1370">
        <v>2019</v>
      </c>
      <c r="C1370" s="1">
        <v>44051</v>
      </c>
      <c r="D1370" t="s">
        <v>8</v>
      </c>
      <c r="E1370">
        <v>1430736</v>
      </c>
      <c r="F1370">
        <v>18207522</v>
      </c>
      <c r="G1370">
        <v>7.86</v>
      </c>
    </row>
    <row r="1371" spans="1:7" x14ac:dyDescent="0.45">
      <c r="A1371" t="s">
        <v>13</v>
      </c>
      <c r="B1371">
        <v>2019</v>
      </c>
      <c r="C1371" s="1">
        <v>44051</v>
      </c>
      <c r="D1371" t="s">
        <v>8</v>
      </c>
      <c r="E1371">
        <v>746568</v>
      </c>
      <c r="F1371">
        <v>10512479</v>
      </c>
      <c r="G1371">
        <v>7.1</v>
      </c>
    </row>
    <row r="1372" spans="1:7" x14ac:dyDescent="0.45">
      <c r="A1372" t="s">
        <v>14</v>
      </c>
      <c r="B1372">
        <v>2019</v>
      </c>
      <c r="C1372" s="1">
        <v>44051</v>
      </c>
      <c r="D1372" t="s">
        <v>8</v>
      </c>
      <c r="E1372">
        <v>139860</v>
      </c>
      <c r="F1372">
        <v>2371396</v>
      </c>
      <c r="G1372">
        <v>5.9</v>
      </c>
    </row>
    <row r="1373" spans="1:7" x14ac:dyDescent="0.45">
      <c r="A1373" t="s">
        <v>15</v>
      </c>
      <c r="B1373">
        <v>2019</v>
      </c>
      <c r="C1373" s="1">
        <v>44051</v>
      </c>
      <c r="D1373" t="s">
        <v>8</v>
      </c>
      <c r="E1373">
        <v>254144</v>
      </c>
      <c r="F1373">
        <v>3691561</v>
      </c>
      <c r="G1373">
        <v>6.88</v>
      </c>
    </row>
    <row r="1374" spans="1:7" x14ac:dyDescent="0.45">
      <c r="A1374" t="s">
        <v>16</v>
      </c>
      <c r="B1374">
        <v>2019</v>
      </c>
      <c r="C1374" s="1">
        <v>44051</v>
      </c>
      <c r="D1374" t="s">
        <v>8</v>
      </c>
      <c r="E1374">
        <v>323877</v>
      </c>
      <c r="F1374">
        <v>3799736</v>
      </c>
      <c r="G1374">
        <v>8.52</v>
      </c>
    </row>
    <row r="1375" spans="1:7" x14ac:dyDescent="0.45">
      <c r="A1375" t="s">
        <v>17</v>
      </c>
      <c r="B1375">
        <v>2019</v>
      </c>
      <c r="C1375" s="1">
        <v>44051</v>
      </c>
      <c r="D1375" t="s">
        <v>8</v>
      </c>
      <c r="E1375">
        <v>505767</v>
      </c>
      <c r="F1375">
        <v>5862386</v>
      </c>
      <c r="G1375">
        <v>8.6300000000000008</v>
      </c>
    </row>
    <row r="1376" spans="1:7" x14ac:dyDescent="0.45">
      <c r="A1376" t="s">
        <v>18</v>
      </c>
      <c r="B1376">
        <v>2019</v>
      </c>
      <c r="C1376" s="1">
        <v>44051</v>
      </c>
      <c r="D1376" t="s">
        <v>8</v>
      </c>
      <c r="E1376">
        <v>419282</v>
      </c>
      <c r="F1376">
        <v>5077875</v>
      </c>
      <c r="G1376">
        <v>8.26</v>
      </c>
    </row>
    <row r="1377" spans="1:7" x14ac:dyDescent="0.45">
      <c r="A1377" t="s">
        <v>19</v>
      </c>
      <c r="B1377">
        <v>2019</v>
      </c>
      <c r="C1377" s="1">
        <v>44051</v>
      </c>
      <c r="D1377" t="s">
        <v>8</v>
      </c>
      <c r="E1377">
        <v>72506</v>
      </c>
      <c r="F1377">
        <v>617880</v>
      </c>
      <c r="G1377">
        <v>11.73</v>
      </c>
    </row>
    <row r="1378" spans="1:7" x14ac:dyDescent="0.45">
      <c r="A1378" t="s">
        <v>20</v>
      </c>
      <c r="B1378">
        <v>2019</v>
      </c>
      <c r="C1378" s="1">
        <v>44051</v>
      </c>
      <c r="D1378" t="s">
        <v>8</v>
      </c>
      <c r="E1378">
        <v>1510820</v>
      </c>
      <c r="F1378">
        <v>23257363</v>
      </c>
      <c r="G1378">
        <v>6.5</v>
      </c>
    </row>
    <row r="1379" spans="1:7" x14ac:dyDescent="0.45">
      <c r="A1379" t="s">
        <v>21</v>
      </c>
      <c r="B1379">
        <v>2019</v>
      </c>
      <c r="C1379" s="1">
        <v>44051</v>
      </c>
      <c r="D1379" t="s">
        <v>8</v>
      </c>
      <c r="E1379">
        <v>438959</v>
      </c>
      <c r="F1379">
        <v>7094962</v>
      </c>
      <c r="G1379">
        <v>6.19</v>
      </c>
    </row>
    <row r="1380" spans="1:7" x14ac:dyDescent="0.45">
      <c r="A1380" t="s">
        <v>22</v>
      </c>
      <c r="B1380">
        <v>2019</v>
      </c>
      <c r="C1380" s="1">
        <v>44051</v>
      </c>
      <c r="D1380" t="s">
        <v>8</v>
      </c>
      <c r="E1380">
        <v>469790</v>
      </c>
      <c r="F1380">
        <v>4851640</v>
      </c>
      <c r="G1380">
        <v>9.68</v>
      </c>
    </row>
    <row r="1381" spans="1:7" x14ac:dyDescent="0.45">
      <c r="A1381" t="s">
        <v>7</v>
      </c>
      <c r="B1381">
        <v>2019</v>
      </c>
      <c r="C1381" s="1">
        <v>44051</v>
      </c>
      <c r="D1381" t="s">
        <v>23</v>
      </c>
      <c r="E1381">
        <v>31219</v>
      </c>
      <c r="F1381">
        <v>589481</v>
      </c>
      <c r="G1381">
        <v>5.3</v>
      </c>
    </row>
    <row r="1382" spans="1:7" x14ac:dyDescent="0.45">
      <c r="A1382" t="s">
        <v>9</v>
      </c>
      <c r="B1382">
        <v>2019</v>
      </c>
      <c r="C1382" s="1">
        <v>44051</v>
      </c>
      <c r="D1382" t="s">
        <v>23</v>
      </c>
      <c r="E1382">
        <v>42551</v>
      </c>
      <c r="F1382">
        <v>2476087</v>
      </c>
      <c r="G1382">
        <v>1.72</v>
      </c>
    </row>
    <row r="1383" spans="1:7" x14ac:dyDescent="0.45">
      <c r="A1383" t="s">
        <v>10</v>
      </c>
      <c r="B1383">
        <v>2019</v>
      </c>
      <c r="C1383" s="1">
        <v>44051</v>
      </c>
      <c r="D1383" t="s">
        <v>23</v>
      </c>
      <c r="E1383">
        <v>198557</v>
      </c>
      <c r="F1383">
        <v>4789291</v>
      </c>
      <c r="G1383">
        <v>4.1500000000000004</v>
      </c>
    </row>
    <row r="1384" spans="1:7" x14ac:dyDescent="0.45">
      <c r="A1384" t="s">
        <v>11</v>
      </c>
      <c r="B1384">
        <v>2019</v>
      </c>
      <c r="C1384" s="1">
        <v>44051</v>
      </c>
      <c r="D1384" t="s">
        <v>23</v>
      </c>
      <c r="E1384">
        <v>132489</v>
      </c>
      <c r="F1384">
        <v>3019188</v>
      </c>
      <c r="G1384">
        <v>4.3899999999999997</v>
      </c>
    </row>
    <row r="1385" spans="1:7" x14ac:dyDescent="0.45">
      <c r="A1385" t="s">
        <v>12</v>
      </c>
      <c r="B1385">
        <v>2019</v>
      </c>
      <c r="C1385" s="1">
        <v>44051</v>
      </c>
      <c r="D1385" t="s">
        <v>23</v>
      </c>
      <c r="E1385">
        <v>703094</v>
      </c>
      <c r="F1385">
        <v>18207522</v>
      </c>
      <c r="G1385">
        <v>3.86</v>
      </c>
    </row>
    <row r="1386" spans="1:7" x14ac:dyDescent="0.45">
      <c r="A1386" t="s">
        <v>13</v>
      </c>
      <c r="B1386">
        <v>2019</v>
      </c>
      <c r="C1386" s="1">
        <v>44051</v>
      </c>
      <c r="D1386" t="s">
        <v>23</v>
      </c>
      <c r="E1386">
        <v>385740</v>
      </c>
      <c r="F1386">
        <v>10512479</v>
      </c>
      <c r="G1386">
        <v>3.67</v>
      </c>
    </row>
    <row r="1387" spans="1:7" x14ac:dyDescent="0.45">
      <c r="A1387" t="s">
        <v>15</v>
      </c>
      <c r="B1387">
        <v>2019</v>
      </c>
      <c r="C1387" s="1">
        <v>44051</v>
      </c>
      <c r="D1387" t="s">
        <v>23</v>
      </c>
      <c r="E1387">
        <v>53377</v>
      </c>
      <c r="F1387">
        <v>3691561</v>
      </c>
      <c r="G1387">
        <v>1.45</v>
      </c>
    </row>
    <row r="1388" spans="1:7" x14ac:dyDescent="0.45">
      <c r="A1388" t="s">
        <v>16</v>
      </c>
      <c r="B1388">
        <v>2019</v>
      </c>
      <c r="C1388" s="1">
        <v>44051</v>
      </c>
      <c r="D1388" t="s">
        <v>23</v>
      </c>
      <c r="E1388">
        <v>103076</v>
      </c>
      <c r="F1388">
        <v>3799736</v>
      </c>
      <c r="G1388">
        <v>2.71</v>
      </c>
    </row>
    <row r="1389" spans="1:7" x14ac:dyDescent="0.45">
      <c r="A1389" t="s">
        <v>17</v>
      </c>
      <c r="B1389">
        <v>2019</v>
      </c>
      <c r="C1389" s="1">
        <v>44051</v>
      </c>
      <c r="D1389" t="s">
        <v>23</v>
      </c>
      <c r="E1389">
        <v>292933</v>
      </c>
      <c r="F1389">
        <v>5862386</v>
      </c>
      <c r="G1389">
        <v>5</v>
      </c>
    </row>
    <row r="1390" spans="1:7" x14ac:dyDescent="0.45">
      <c r="A1390" t="s">
        <v>18</v>
      </c>
      <c r="B1390">
        <v>2019</v>
      </c>
      <c r="C1390" s="1">
        <v>44051</v>
      </c>
      <c r="D1390" t="s">
        <v>23</v>
      </c>
      <c r="E1390">
        <v>142792</v>
      </c>
      <c r="F1390">
        <v>5077875</v>
      </c>
      <c r="G1390">
        <v>2.81</v>
      </c>
    </row>
    <row r="1391" spans="1:7" x14ac:dyDescent="0.45">
      <c r="A1391" t="s">
        <v>19</v>
      </c>
      <c r="B1391">
        <v>2019</v>
      </c>
      <c r="C1391" s="1">
        <v>44051</v>
      </c>
      <c r="D1391" t="s">
        <v>23</v>
      </c>
      <c r="E1391">
        <v>14120</v>
      </c>
      <c r="F1391">
        <v>617880</v>
      </c>
      <c r="G1391">
        <v>2.29</v>
      </c>
    </row>
    <row r="1392" spans="1:7" x14ac:dyDescent="0.45">
      <c r="A1392" t="s">
        <v>24</v>
      </c>
      <c r="B1392">
        <v>2019</v>
      </c>
      <c r="C1392" s="1">
        <v>44051</v>
      </c>
      <c r="D1392" t="s">
        <v>23</v>
      </c>
      <c r="E1392">
        <v>197369</v>
      </c>
      <c r="F1392">
        <v>3547474</v>
      </c>
      <c r="G1392">
        <v>5.56</v>
      </c>
    </row>
    <row r="1393" spans="1:7" x14ac:dyDescent="0.45">
      <c r="A1393" t="s">
        <v>20</v>
      </c>
      <c r="B1393">
        <v>2019</v>
      </c>
      <c r="C1393" s="1">
        <v>44051</v>
      </c>
      <c r="D1393" t="s">
        <v>23</v>
      </c>
      <c r="E1393">
        <v>626910</v>
      </c>
      <c r="F1393">
        <v>23257363</v>
      </c>
      <c r="G1393">
        <v>2.7</v>
      </c>
    </row>
    <row r="1394" spans="1:7" x14ac:dyDescent="0.45">
      <c r="A1394" t="s">
        <v>21</v>
      </c>
      <c r="B1394">
        <v>2019</v>
      </c>
      <c r="C1394" s="1">
        <v>44051</v>
      </c>
      <c r="D1394" t="s">
        <v>23</v>
      </c>
      <c r="E1394">
        <v>286405</v>
      </c>
      <c r="F1394">
        <v>7094962</v>
      </c>
      <c r="G1394">
        <v>4.04</v>
      </c>
    </row>
    <row r="1395" spans="1:7" x14ac:dyDescent="0.45">
      <c r="A1395" t="s">
        <v>22</v>
      </c>
      <c r="B1395">
        <v>2019</v>
      </c>
      <c r="C1395" s="1">
        <v>44051</v>
      </c>
      <c r="D1395" t="s">
        <v>23</v>
      </c>
      <c r="E1395">
        <v>174252</v>
      </c>
      <c r="F1395">
        <v>4851640</v>
      </c>
      <c r="G1395">
        <v>3.59</v>
      </c>
    </row>
    <row r="1396" spans="1:7" x14ac:dyDescent="0.45">
      <c r="A1396" t="s">
        <v>7</v>
      </c>
      <c r="B1396">
        <v>2019</v>
      </c>
      <c r="C1396" s="1">
        <v>44051</v>
      </c>
      <c r="D1396" t="s">
        <v>25</v>
      </c>
      <c r="E1396">
        <v>70539</v>
      </c>
      <c r="F1396">
        <v>589481</v>
      </c>
      <c r="G1396">
        <v>11.97</v>
      </c>
    </row>
    <row r="1397" spans="1:7" x14ac:dyDescent="0.45">
      <c r="A1397" t="s">
        <v>9</v>
      </c>
      <c r="B1397">
        <v>2019</v>
      </c>
      <c r="C1397" s="1">
        <v>44051</v>
      </c>
      <c r="D1397" t="s">
        <v>25</v>
      </c>
      <c r="E1397">
        <v>197197</v>
      </c>
      <c r="F1397">
        <v>2476087</v>
      </c>
      <c r="G1397">
        <v>7.96</v>
      </c>
    </row>
    <row r="1398" spans="1:7" x14ac:dyDescent="0.45">
      <c r="A1398" t="s">
        <v>10</v>
      </c>
      <c r="B1398">
        <v>2019</v>
      </c>
      <c r="C1398" s="1">
        <v>44051</v>
      </c>
      <c r="D1398" t="s">
        <v>25</v>
      </c>
      <c r="E1398">
        <v>566168</v>
      </c>
      <c r="F1398">
        <v>4789291</v>
      </c>
      <c r="G1398">
        <v>11.82</v>
      </c>
    </row>
    <row r="1399" spans="1:7" x14ac:dyDescent="0.45">
      <c r="A1399" t="s">
        <v>11</v>
      </c>
      <c r="B1399">
        <v>2019</v>
      </c>
      <c r="C1399" s="1">
        <v>44051</v>
      </c>
      <c r="D1399" t="s">
        <v>25</v>
      </c>
      <c r="E1399">
        <v>241012</v>
      </c>
      <c r="F1399">
        <v>3019188</v>
      </c>
      <c r="G1399">
        <v>7.98</v>
      </c>
    </row>
    <row r="1400" spans="1:7" x14ac:dyDescent="0.45">
      <c r="A1400" t="s">
        <v>12</v>
      </c>
      <c r="B1400">
        <v>2019</v>
      </c>
      <c r="C1400" s="1">
        <v>44051</v>
      </c>
      <c r="D1400" t="s">
        <v>25</v>
      </c>
      <c r="E1400">
        <v>1693331</v>
      </c>
      <c r="F1400">
        <v>18207522</v>
      </c>
      <c r="G1400">
        <v>9.3000000000000007</v>
      </c>
    </row>
    <row r="1401" spans="1:7" x14ac:dyDescent="0.45">
      <c r="A1401" t="s">
        <v>13</v>
      </c>
      <c r="B1401">
        <v>2019</v>
      </c>
      <c r="C1401" s="1">
        <v>44051</v>
      </c>
      <c r="D1401" t="s">
        <v>25</v>
      </c>
      <c r="E1401">
        <v>1158183</v>
      </c>
      <c r="F1401">
        <v>10512479</v>
      </c>
      <c r="G1401">
        <v>11.02</v>
      </c>
    </row>
    <row r="1402" spans="1:7" x14ac:dyDescent="0.45">
      <c r="A1402" t="s">
        <v>14</v>
      </c>
      <c r="B1402">
        <v>2019</v>
      </c>
      <c r="C1402" s="1">
        <v>44051</v>
      </c>
      <c r="D1402" t="s">
        <v>25</v>
      </c>
      <c r="E1402">
        <v>223648</v>
      </c>
      <c r="F1402">
        <v>2371396</v>
      </c>
      <c r="G1402">
        <v>9.43</v>
      </c>
    </row>
    <row r="1403" spans="1:7" x14ac:dyDescent="0.45">
      <c r="A1403" t="s">
        <v>15</v>
      </c>
      <c r="B1403">
        <v>2019</v>
      </c>
      <c r="C1403" s="1">
        <v>44051</v>
      </c>
      <c r="D1403" t="s">
        <v>25</v>
      </c>
      <c r="E1403">
        <v>310418</v>
      </c>
      <c r="F1403">
        <v>3691561</v>
      </c>
      <c r="G1403">
        <v>8.41</v>
      </c>
    </row>
    <row r="1404" spans="1:7" x14ac:dyDescent="0.45">
      <c r="A1404" t="s">
        <v>17</v>
      </c>
      <c r="B1404">
        <v>2019</v>
      </c>
      <c r="C1404" s="1">
        <v>44051</v>
      </c>
      <c r="D1404" t="s">
        <v>25</v>
      </c>
      <c r="E1404">
        <v>544983</v>
      </c>
      <c r="F1404">
        <v>5862386</v>
      </c>
      <c r="G1404">
        <v>9.3000000000000007</v>
      </c>
    </row>
    <row r="1405" spans="1:7" x14ac:dyDescent="0.45">
      <c r="A1405" t="s">
        <v>18</v>
      </c>
      <c r="B1405">
        <v>2019</v>
      </c>
      <c r="C1405" s="1">
        <v>44051</v>
      </c>
      <c r="D1405" t="s">
        <v>25</v>
      </c>
      <c r="E1405">
        <v>514321</v>
      </c>
      <c r="F1405">
        <v>5077875</v>
      </c>
      <c r="G1405">
        <v>10.130000000000001</v>
      </c>
    </row>
    <row r="1406" spans="1:7" x14ac:dyDescent="0.45">
      <c r="A1406" t="s">
        <v>19</v>
      </c>
      <c r="B1406">
        <v>2019</v>
      </c>
      <c r="C1406" s="1">
        <v>44051</v>
      </c>
      <c r="D1406" t="s">
        <v>25</v>
      </c>
      <c r="E1406">
        <v>81456</v>
      </c>
      <c r="F1406">
        <v>617880</v>
      </c>
      <c r="G1406">
        <v>13.18</v>
      </c>
    </row>
    <row r="1407" spans="1:7" x14ac:dyDescent="0.45">
      <c r="A1407" t="s">
        <v>24</v>
      </c>
      <c r="B1407">
        <v>2019</v>
      </c>
      <c r="C1407" s="1">
        <v>44051</v>
      </c>
      <c r="D1407" t="s">
        <v>25</v>
      </c>
      <c r="E1407">
        <v>323527</v>
      </c>
      <c r="F1407">
        <v>3547474</v>
      </c>
      <c r="G1407">
        <v>9.1199999999999992</v>
      </c>
    </row>
    <row r="1408" spans="1:7" x14ac:dyDescent="0.45">
      <c r="A1408" t="s">
        <v>20</v>
      </c>
      <c r="B1408">
        <v>2019</v>
      </c>
      <c r="C1408" s="1">
        <v>44051</v>
      </c>
      <c r="D1408" t="s">
        <v>25</v>
      </c>
      <c r="E1408">
        <v>2560469</v>
      </c>
      <c r="F1408">
        <v>23257363</v>
      </c>
      <c r="G1408">
        <v>11.01</v>
      </c>
    </row>
    <row r="1409" spans="1:7" x14ac:dyDescent="0.45">
      <c r="A1409" t="s">
        <v>21</v>
      </c>
      <c r="B1409">
        <v>2019</v>
      </c>
      <c r="C1409" s="1">
        <v>44051</v>
      </c>
      <c r="D1409" t="s">
        <v>25</v>
      </c>
      <c r="E1409">
        <v>644758</v>
      </c>
      <c r="F1409">
        <v>7094962</v>
      </c>
      <c r="G1409">
        <v>9.09</v>
      </c>
    </row>
    <row r="1410" spans="1:7" x14ac:dyDescent="0.45">
      <c r="A1410" t="s">
        <v>7</v>
      </c>
      <c r="B1410">
        <v>2019</v>
      </c>
      <c r="C1410" s="1">
        <v>44083</v>
      </c>
      <c r="D1410" t="s">
        <v>8</v>
      </c>
      <c r="E1410">
        <v>59096</v>
      </c>
      <c r="F1410">
        <v>589481</v>
      </c>
      <c r="G1410">
        <v>10.029999999999999</v>
      </c>
    </row>
    <row r="1411" spans="1:7" x14ac:dyDescent="0.45">
      <c r="A1411" t="s">
        <v>9</v>
      </c>
      <c r="B1411">
        <v>2019</v>
      </c>
      <c r="C1411" s="1">
        <v>44083</v>
      </c>
      <c r="D1411" t="s">
        <v>8</v>
      </c>
      <c r="E1411">
        <v>127033</v>
      </c>
      <c r="F1411">
        <v>2476087</v>
      </c>
      <c r="G1411">
        <v>5.13</v>
      </c>
    </row>
    <row r="1412" spans="1:7" x14ac:dyDescent="0.45">
      <c r="A1412" t="s">
        <v>10</v>
      </c>
      <c r="B1412">
        <v>2019</v>
      </c>
      <c r="C1412" s="1">
        <v>44083</v>
      </c>
      <c r="D1412" t="s">
        <v>8</v>
      </c>
      <c r="E1412">
        <v>454443</v>
      </c>
      <c r="F1412">
        <v>4789291</v>
      </c>
      <c r="G1412">
        <v>9.49</v>
      </c>
    </row>
    <row r="1413" spans="1:7" x14ac:dyDescent="0.45">
      <c r="A1413" t="s">
        <v>11</v>
      </c>
      <c r="B1413">
        <v>2019</v>
      </c>
      <c r="C1413" s="1">
        <v>44083</v>
      </c>
      <c r="D1413" t="s">
        <v>8</v>
      </c>
      <c r="E1413">
        <v>257197</v>
      </c>
      <c r="F1413">
        <v>3019188</v>
      </c>
      <c r="G1413">
        <v>8.52</v>
      </c>
    </row>
    <row r="1414" spans="1:7" x14ac:dyDescent="0.45">
      <c r="A1414" t="s">
        <v>12</v>
      </c>
      <c r="B1414">
        <v>2019</v>
      </c>
      <c r="C1414" s="1">
        <v>44083</v>
      </c>
      <c r="D1414" t="s">
        <v>8</v>
      </c>
      <c r="E1414">
        <v>1343622</v>
      </c>
      <c r="F1414">
        <v>18207522</v>
      </c>
      <c r="G1414">
        <v>7.38</v>
      </c>
    </row>
    <row r="1415" spans="1:7" x14ac:dyDescent="0.45">
      <c r="A1415" t="s">
        <v>13</v>
      </c>
      <c r="B1415">
        <v>2019</v>
      </c>
      <c r="C1415" s="1">
        <v>44083</v>
      </c>
      <c r="D1415" t="s">
        <v>8</v>
      </c>
      <c r="E1415">
        <v>723677</v>
      </c>
      <c r="F1415">
        <v>10512479</v>
      </c>
      <c r="G1415">
        <v>6.88</v>
      </c>
    </row>
    <row r="1416" spans="1:7" x14ac:dyDescent="0.45">
      <c r="A1416" t="s">
        <v>14</v>
      </c>
      <c r="B1416">
        <v>2019</v>
      </c>
      <c r="C1416" s="1">
        <v>44083</v>
      </c>
      <c r="D1416" t="s">
        <v>8</v>
      </c>
      <c r="E1416">
        <v>149008</v>
      </c>
      <c r="F1416">
        <v>2371396</v>
      </c>
      <c r="G1416">
        <v>6.28</v>
      </c>
    </row>
    <row r="1417" spans="1:7" x14ac:dyDescent="0.45">
      <c r="A1417" t="s">
        <v>15</v>
      </c>
      <c r="B1417">
        <v>2019</v>
      </c>
      <c r="C1417" s="1">
        <v>44083</v>
      </c>
      <c r="D1417" t="s">
        <v>8</v>
      </c>
      <c r="E1417">
        <v>141255</v>
      </c>
      <c r="F1417">
        <v>3691561</v>
      </c>
      <c r="G1417">
        <v>3.83</v>
      </c>
    </row>
    <row r="1418" spans="1:7" x14ac:dyDescent="0.45">
      <c r="A1418" t="s">
        <v>16</v>
      </c>
      <c r="B1418">
        <v>2019</v>
      </c>
      <c r="C1418" s="1">
        <v>44083</v>
      </c>
      <c r="D1418" t="s">
        <v>8</v>
      </c>
      <c r="E1418">
        <v>288178</v>
      </c>
      <c r="F1418">
        <v>3799736</v>
      </c>
      <c r="G1418">
        <v>7.58</v>
      </c>
    </row>
    <row r="1419" spans="1:7" x14ac:dyDescent="0.45">
      <c r="A1419" t="s">
        <v>17</v>
      </c>
      <c r="B1419">
        <v>2019</v>
      </c>
      <c r="C1419" s="1">
        <v>44083</v>
      </c>
      <c r="D1419" t="s">
        <v>8</v>
      </c>
      <c r="E1419">
        <v>460954</v>
      </c>
      <c r="F1419">
        <v>5862386</v>
      </c>
      <c r="G1419">
        <v>7.86</v>
      </c>
    </row>
    <row r="1420" spans="1:7" x14ac:dyDescent="0.45">
      <c r="A1420" t="s">
        <v>18</v>
      </c>
      <c r="B1420">
        <v>2019</v>
      </c>
      <c r="C1420" s="1">
        <v>44083</v>
      </c>
      <c r="D1420" t="s">
        <v>8</v>
      </c>
      <c r="E1420">
        <v>490388</v>
      </c>
      <c r="F1420">
        <v>5077875</v>
      </c>
      <c r="G1420">
        <v>9.66</v>
      </c>
    </row>
    <row r="1421" spans="1:7" x14ac:dyDescent="0.45">
      <c r="A1421" t="s">
        <v>19</v>
      </c>
      <c r="B1421">
        <v>2019</v>
      </c>
      <c r="C1421" s="1">
        <v>44083</v>
      </c>
      <c r="D1421" t="s">
        <v>8</v>
      </c>
      <c r="E1421">
        <v>71351</v>
      </c>
      <c r="F1421">
        <v>617880</v>
      </c>
      <c r="G1421">
        <v>11.55</v>
      </c>
    </row>
    <row r="1422" spans="1:7" x14ac:dyDescent="0.45">
      <c r="A1422" t="s">
        <v>20</v>
      </c>
      <c r="B1422">
        <v>2019</v>
      </c>
      <c r="C1422" s="1">
        <v>44083</v>
      </c>
      <c r="D1422" t="s">
        <v>8</v>
      </c>
      <c r="E1422">
        <v>1316911</v>
      </c>
      <c r="F1422">
        <v>23257363</v>
      </c>
      <c r="G1422">
        <v>5.66</v>
      </c>
    </row>
    <row r="1423" spans="1:7" x14ac:dyDescent="0.45">
      <c r="A1423" t="s">
        <v>21</v>
      </c>
      <c r="B1423">
        <v>2019</v>
      </c>
      <c r="C1423" s="1">
        <v>44083</v>
      </c>
      <c r="D1423" t="s">
        <v>8</v>
      </c>
      <c r="E1423">
        <v>392687</v>
      </c>
      <c r="F1423">
        <v>7094962</v>
      </c>
      <c r="G1423">
        <v>5.53</v>
      </c>
    </row>
    <row r="1424" spans="1:7" x14ac:dyDescent="0.45">
      <c r="A1424" t="s">
        <v>22</v>
      </c>
      <c r="B1424">
        <v>2019</v>
      </c>
      <c r="C1424" s="1">
        <v>44083</v>
      </c>
      <c r="D1424" t="s">
        <v>8</v>
      </c>
      <c r="E1424">
        <v>493355</v>
      </c>
      <c r="F1424">
        <v>4851640</v>
      </c>
      <c r="G1424">
        <v>10.17</v>
      </c>
    </row>
    <row r="1425" spans="1:7" x14ac:dyDescent="0.45">
      <c r="A1425" t="s">
        <v>7</v>
      </c>
      <c r="B1425">
        <v>2019</v>
      </c>
      <c r="C1425" s="1">
        <v>44083</v>
      </c>
      <c r="D1425" t="s">
        <v>23</v>
      </c>
      <c r="E1425">
        <v>23588</v>
      </c>
      <c r="F1425">
        <v>589481</v>
      </c>
      <c r="G1425">
        <v>4</v>
      </c>
    </row>
    <row r="1426" spans="1:7" x14ac:dyDescent="0.45">
      <c r="A1426" t="s">
        <v>9</v>
      </c>
      <c r="B1426">
        <v>2019</v>
      </c>
      <c r="C1426" s="1">
        <v>44083</v>
      </c>
      <c r="D1426" t="s">
        <v>23</v>
      </c>
      <c r="E1426">
        <v>41187</v>
      </c>
      <c r="F1426">
        <v>2476087</v>
      </c>
      <c r="G1426">
        <v>1.66</v>
      </c>
    </row>
    <row r="1427" spans="1:7" x14ac:dyDescent="0.45">
      <c r="A1427" t="s">
        <v>10</v>
      </c>
      <c r="B1427">
        <v>2019</v>
      </c>
      <c r="C1427" s="1">
        <v>44083</v>
      </c>
      <c r="D1427" t="s">
        <v>23</v>
      </c>
      <c r="E1427">
        <v>171493</v>
      </c>
      <c r="F1427">
        <v>4789291</v>
      </c>
      <c r="G1427">
        <v>3.58</v>
      </c>
    </row>
    <row r="1428" spans="1:7" x14ac:dyDescent="0.45">
      <c r="A1428" t="s">
        <v>11</v>
      </c>
      <c r="B1428">
        <v>2019</v>
      </c>
      <c r="C1428" s="1">
        <v>44083</v>
      </c>
      <c r="D1428" t="s">
        <v>23</v>
      </c>
      <c r="E1428">
        <v>122302</v>
      </c>
      <c r="F1428">
        <v>3019188</v>
      </c>
      <c r="G1428">
        <v>4.05</v>
      </c>
    </row>
    <row r="1429" spans="1:7" x14ac:dyDescent="0.45">
      <c r="A1429" t="s">
        <v>12</v>
      </c>
      <c r="B1429">
        <v>2019</v>
      </c>
      <c r="C1429" s="1">
        <v>44083</v>
      </c>
      <c r="D1429" t="s">
        <v>23</v>
      </c>
      <c r="E1429">
        <v>616981</v>
      </c>
      <c r="F1429">
        <v>18207522</v>
      </c>
      <c r="G1429">
        <v>3.39</v>
      </c>
    </row>
    <row r="1430" spans="1:7" x14ac:dyDescent="0.45">
      <c r="A1430" t="s">
        <v>13</v>
      </c>
      <c r="B1430">
        <v>2019</v>
      </c>
      <c r="C1430" s="1">
        <v>44083</v>
      </c>
      <c r="D1430" t="s">
        <v>23</v>
      </c>
      <c r="E1430">
        <v>363524</v>
      </c>
      <c r="F1430">
        <v>10512479</v>
      </c>
      <c r="G1430">
        <v>3.46</v>
      </c>
    </row>
    <row r="1431" spans="1:7" x14ac:dyDescent="0.45">
      <c r="A1431" t="s">
        <v>15</v>
      </c>
      <c r="B1431">
        <v>2019</v>
      </c>
      <c r="C1431" s="1">
        <v>44083</v>
      </c>
      <c r="D1431" t="s">
        <v>23</v>
      </c>
      <c r="E1431">
        <v>42904</v>
      </c>
      <c r="F1431">
        <v>3691561</v>
      </c>
      <c r="G1431">
        <v>1.1599999999999999</v>
      </c>
    </row>
    <row r="1432" spans="1:7" x14ac:dyDescent="0.45">
      <c r="A1432" t="s">
        <v>16</v>
      </c>
      <c r="B1432">
        <v>2019</v>
      </c>
      <c r="C1432" s="1">
        <v>44083</v>
      </c>
      <c r="D1432" t="s">
        <v>23</v>
      </c>
      <c r="E1432">
        <v>92625</v>
      </c>
      <c r="F1432">
        <v>3799736</v>
      </c>
      <c r="G1432">
        <v>2.44</v>
      </c>
    </row>
    <row r="1433" spans="1:7" x14ac:dyDescent="0.45">
      <c r="A1433" t="s">
        <v>17</v>
      </c>
      <c r="B1433">
        <v>2019</v>
      </c>
      <c r="C1433" s="1">
        <v>44083</v>
      </c>
      <c r="D1433" t="s">
        <v>23</v>
      </c>
      <c r="E1433">
        <v>280354</v>
      </c>
      <c r="F1433">
        <v>5862386</v>
      </c>
      <c r="G1433">
        <v>4.78</v>
      </c>
    </row>
    <row r="1434" spans="1:7" x14ac:dyDescent="0.45">
      <c r="A1434" t="s">
        <v>18</v>
      </c>
      <c r="B1434">
        <v>2019</v>
      </c>
      <c r="C1434" s="1">
        <v>44083</v>
      </c>
      <c r="D1434" t="s">
        <v>23</v>
      </c>
      <c r="E1434">
        <v>146296</v>
      </c>
      <c r="F1434">
        <v>5077875</v>
      </c>
      <c r="G1434">
        <v>2.88</v>
      </c>
    </row>
    <row r="1435" spans="1:7" x14ac:dyDescent="0.45">
      <c r="A1435" t="s">
        <v>19</v>
      </c>
      <c r="B1435">
        <v>2019</v>
      </c>
      <c r="C1435" s="1">
        <v>44083</v>
      </c>
      <c r="D1435" t="s">
        <v>23</v>
      </c>
      <c r="E1435">
        <v>14273</v>
      </c>
      <c r="F1435">
        <v>617880</v>
      </c>
      <c r="G1435">
        <v>2.31</v>
      </c>
    </row>
    <row r="1436" spans="1:7" x14ac:dyDescent="0.45">
      <c r="A1436" t="s">
        <v>24</v>
      </c>
      <c r="B1436">
        <v>2019</v>
      </c>
      <c r="C1436" s="1">
        <v>44083</v>
      </c>
      <c r="D1436" t="s">
        <v>23</v>
      </c>
      <c r="E1436">
        <v>180984</v>
      </c>
      <c r="F1436">
        <v>3547474</v>
      </c>
      <c r="G1436">
        <v>5.0999999999999996</v>
      </c>
    </row>
    <row r="1437" spans="1:7" x14ac:dyDescent="0.45">
      <c r="A1437" t="s">
        <v>20</v>
      </c>
      <c r="B1437">
        <v>2019</v>
      </c>
      <c r="C1437" s="1">
        <v>44083</v>
      </c>
      <c r="D1437" t="s">
        <v>23</v>
      </c>
      <c r="E1437">
        <v>643566</v>
      </c>
      <c r="F1437">
        <v>23257363</v>
      </c>
      <c r="G1437">
        <v>2.77</v>
      </c>
    </row>
    <row r="1438" spans="1:7" x14ac:dyDescent="0.45">
      <c r="A1438" t="s">
        <v>21</v>
      </c>
      <c r="B1438">
        <v>2019</v>
      </c>
      <c r="C1438" s="1">
        <v>44083</v>
      </c>
      <c r="D1438" t="s">
        <v>23</v>
      </c>
      <c r="E1438">
        <v>267308</v>
      </c>
      <c r="F1438">
        <v>7094962</v>
      </c>
      <c r="G1438">
        <v>3.77</v>
      </c>
    </row>
    <row r="1439" spans="1:7" x14ac:dyDescent="0.45">
      <c r="A1439" t="s">
        <v>22</v>
      </c>
      <c r="B1439">
        <v>2019</v>
      </c>
      <c r="C1439" s="1">
        <v>44083</v>
      </c>
      <c r="D1439" t="s">
        <v>23</v>
      </c>
      <c r="E1439">
        <v>152114</v>
      </c>
      <c r="F1439">
        <v>4851640</v>
      </c>
      <c r="G1439">
        <v>3.14</v>
      </c>
    </row>
    <row r="1440" spans="1:7" x14ac:dyDescent="0.45">
      <c r="A1440" t="s">
        <v>7</v>
      </c>
      <c r="B1440">
        <v>2019</v>
      </c>
      <c r="C1440" s="1">
        <v>44083</v>
      </c>
      <c r="D1440" t="s">
        <v>25</v>
      </c>
      <c r="E1440">
        <v>47988</v>
      </c>
      <c r="F1440">
        <v>589481</v>
      </c>
      <c r="G1440">
        <v>8.14</v>
      </c>
    </row>
    <row r="1441" spans="1:7" x14ac:dyDescent="0.45">
      <c r="A1441" t="s">
        <v>9</v>
      </c>
      <c r="B1441">
        <v>2019</v>
      </c>
      <c r="C1441" s="1">
        <v>44083</v>
      </c>
      <c r="D1441" t="s">
        <v>25</v>
      </c>
      <c r="E1441">
        <v>199458</v>
      </c>
      <c r="F1441">
        <v>2476087</v>
      </c>
      <c r="G1441">
        <v>8.06</v>
      </c>
    </row>
    <row r="1442" spans="1:7" x14ac:dyDescent="0.45">
      <c r="A1442" t="s">
        <v>10</v>
      </c>
      <c r="B1442">
        <v>2019</v>
      </c>
      <c r="C1442" s="1">
        <v>44083</v>
      </c>
      <c r="D1442" t="s">
        <v>25</v>
      </c>
      <c r="E1442">
        <v>475862</v>
      </c>
      <c r="F1442">
        <v>4789291</v>
      </c>
      <c r="G1442">
        <v>9.94</v>
      </c>
    </row>
    <row r="1443" spans="1:7" x14ac:dyDescent="0.45">
      <c r="A1443" t="s">
        <v>11</v>
      </c>
      <c r="B1443">
        <v>2019</v>
      </c>
      <c r="C1443" s="1">
        <v>44083</v>
      </c>
      <c r="D1443" t="s">
        <v>25</v>
      </c>
      <c r="E1443">
        <v>188063</v>
      </c>
      <c r="F1443">
        <v>3019188</v>
      </c>
      <c r="G1443">
        <v>6.23</v>
      </c>
    </row>
    <row r="1444" spans="1:7" x14ac:dyDescent="0.45">
      <c r="A1444" t="s">
        <v>12</v>
      </c>
      <c r="B1444">
        <v>2019</v>
      </c>
      <c r="C1444" s="1">
        <v>44083</v>
      </c>
      <c r="D1444" t="s">
        <v>25</v>
      </c>
      <c r="E1444">
        <v>1355827</v>
      </c>
      <c r="F1444">
        <v>18207522</v>
      </c>
      <c r="G1444">
        <v>7.45</v>
      </c>
    </row>
    <row r="1445" spans="1:7" x14ac:dyDescent="0.45">
      <c r="A1445" t="s">
        <v>13</v>
      </c>
      <c r="B1445">
        <v>2019</v>
      </c>
      <c r="C1445" s="1">
        <v>44083</v>
      </c>
      <c r="D1445" t="s">
        <v>25</v>
      </c>
      <c r="E1445">
        <v>886170</v>
      </c>
      <c r="F1445">
        <v>10512479</v>
      </c>
      <c r="G1445">
        <v>8.43</v>
      </c>
    </row>
    <row r="1446" spans="1:7" x14ac:dyDescent="0.45">
      <c r="A1446" t="s">
        <v>14</v>
      </c>
      <c r="B1446">
        <v>2019</v>
      </c>
      <c r="C1446" s="1">
        <v>44083</v>
      </c>
      <c r="D1446" t="s">
        <v>25</v>
      </c>
      <c r="E1446">
        <v>249469</v>
      </c>
      <c r="F1446">
        <v>2371396</v>
      </c>
      <c r="G1446">
        <v>10.52</v>
      </c>
    </row>
    <row r="1447" spans="1:7" x14ac:dyDescent="0.45">
      <c r="A1447" t="s">
        <v>15</v>
      </c>
      <c r="B1447">
        <v>2019</v>
      </c>
      <c r="C1447" s="1">
        <v>44083</v>
      </c>
      <c r="D1447" t="s">
        <v>25</v>
      </c>
      <c r="E1447">
        <v>218540</v>
      </c>
      <c r="F1447">
        <v>3691561</v>
      </c>
      <c r="G1447">
        <v>5.92</v>
      </c>
    </row>
    <row r="1448" spans="1:7" x14ac:dyDescent="0.45">
      <c r="A1448" t="s">
        <v>17</v>
      </c>
      <c r="B1448">
        <v>2019</v>
      </c>
      <c r="C1448" s="1">
        <v>44083</v>
      </c>
      <c r="D1448" t="s">
        <v>25</v>
      </c>
      <c r="E1448">
        <v>412770</v>
      </c>
      <c r="F1448">
        <v>5862386</v>
      </c>
      <c r="G1448">
        <v>7.04</v>
      </c>
    </row>
    <row r="1449" spans="1:7" x14ac:dyDescent="0.45">
      <c r="A1449" t="s">
        <v>18</v>
      </c>
      <c r="B1449">
        <v>2019</v>
      </c>
      <c r="C1449" s="1">
        <v>44083</v>
      </c>
      <c r="D1449" t="s">
        <v>25</v>
      </c>
      <c r="E1449">
        <v>467291</v>
      </c>
      <c r="F1449">
        <v>5077875</v>
      </c>
      <c r="G1449">
        <v>9.1999999999999993</v>
      </c>
    </row>
    <row r="1450" spans="1:7" x14ac:dyDescent="0.45">
      <c r="A1450" t="s">
        <v>19</v>
      </c>
      <c r="B1450">
        <v>2019</v>
      </c>
      <c r="C1450" s="1">
        <v>44083</v>
      </c>
      <c r="D1450" t="s">
        <v>25</v>
      </c>
      <c r="E1450">
        <v>71753</v>
      </c>
      <c r="F1450">
        <v>617880</v>
      </c>
      <c r="G1450">
        <v>11.61</v>
      </c>
    </row>
    <row r="1451" spans="1:7" x14ac:dyDescent="0.45">
      <c r="A1451" t="s">
        <v>24</v>
      </c>
      <c r="B1451">
        <v>2019</v>
      </c>
      <c r="C1451" s="1">
        <v>44083</v>
      </c>
      <c r="D1451" t="s">
        <v>25</v>
      </c>
      <c r="E1451">
        <v>432152</v>
      </c>
      <c r="F1451">
        <v>3547474</v>
      </c>
      <c r="G1451">
        <v>12.18</v>
      </c>
    </row>
    <row r="1452" spans="1:7" x14ac:dyDescent="0.45">
      <c r="A1452" t="s">
        <v>20</v>
      </c>
      <c r="B1452">
        <v>2019</v>
      </c>
      <c r="C1452" s="1">
        <v>44083</v>
      </c>
      <c r="D1452" t="s">
        <v>25</v>
      </c>
      <c r="E1452">
        <v>2693362</v>
      </c>
      <c r="F1452">
        <v>23257363</v>
      </c>
      <c r="G1452">
        <v>11.58</v>
      </c>
    </row>
    <row r="1453" spans="1:7" x14ac:dyDescent="0.45">
      <c r="A1453" t="s">
        <v>21</v>
      </c>
      <c r="B1453">
        <v>2019</v>
      </c>
      <c r="C1453" s="1">
        <v>44083</v>
      </c>
      <c r="D1453" t="s">
        <v>25</v>
      </c>
      <c r="E1453">
        <v>547184</v>
      </c>
      <c r="F1453">
        <v>7094962</v>
      </c>
      <c r="G1453">
        <v>7.71</v>
      </c>
    </row>
    <row r="1454" spans="1:7" x14ac:dyDescent="0.45">
      <c r="A1454" t="s">
        <v>7</v>
      </c>
      <c r="B1454">
        <v>2019</v>
      </c>
      <c r="C1454" s="1">
        <v>44114</v>
      </c>
      <c r="D1454" t="s">
        <v>8</v>
      </c>
      <c r="E1454">
        <v>62185</v>
      </c>
      <c r="F1454">
        <v>589481</v>
      </c>
      <c r="G1454">
        <v>10.55</v>
      </c>
    </row>
    <row r="1455" spans="1:7" x14ac:dyDescent="0.45">
      <c r="A1455" t="s">
        <v>9</v>
      </c>
      <c r="B1455">
        <v>2019</v>
      </c>
      <c r="C1455" s="1">
        <v>44114</v>
      </c>
      <c r="D1455" t="s">
        <v>8</v>
      </c>
      <c r="E1455">
        <v>142600</v>
      </c>
      <c r="F1455">
        <v>2476087</v>
      </c>
      <c r="G1455">
        <v>5.76</v>
      </c>
    </row>
    <row r="1456" spans="1:7" x14ac:dyDescent="0.45">
      <c r="A1456" t="s">
        <v>10</v>
      </c>
      <c r="B1456">
        <v>2019</v>
      </c>
      <c r="C1456" s="1">
        <v>44114</v>
      </c>
      <c r="D1456" t="s">
        <v>8</v>
      </c>
      <c r="E1456">
        <v>520244</v>
      </c>
      <c r="F1456">
        <v>4789291</v>
      </c>
      <c r="G1456">
        <v>10.86</v>
      </c>
    </row>
    <row r="1457" spans="1:7" x14ac:dyDescent="0.45">
      <c r="A1457" t="s">
        <v>11</v>
      </c>
      <c r="B1457">
        <v>2019</v>
      </c>
      <c r="C1457" s="1">
        <v>44114</v>
      </c>
      <c r="D1457" t="s">
        <v>8</v>
      </c>
      <c r="E1457">
        <v>315674</v>
      </c>
      <c r="F1457">
        <v>3019188</v>
      </c>
      <c r="G1457">
        <v>10.46</v>
      </c>
    </row>
    <row r="1458" spans="1:7" x14ac:dyDescent="0.45">
      <c r="A1458" t="s">
        <v>12</v>
      </c>
      <c r="B1458">
        <v>2019</v>
      </c>
      <c r="C1458" s="1">
        <v>44114</v>
      </c>
      <c r="D1458" t="s">
        <v>8</v>
      </c>
      <c r="E1458">
        <v>1807521</v>
      </c>
      <c r="F1458">
        <v>18207522</v>
      </c>
      <c r="G1458">
        <v>9.93</v>
      </c>
    </row>
    <row r="1459" spans="1:7" x14ac:dyDescent="0.45">
      <c r="A1459" t="s">
        <v>13</v>
      </c>
      <c r="B1459">
        <v>2019</v>
      </c>
      <c r="C1459" s="1">
        <v>44114</v>
      </c>
      <c r="D1459" t="s">
        <v>8</v>
      </c>
      <c r="E1459">
        <v>852140</v>
      </c>
      <c r="F1459">
        <v>10512479</v>
      </c>
      <c r="G1459">
        <v>8.11</v>
      </c>
    </row>
    <row r="1460" spans="1:7" x14ac:dyDescent="0.45">
      <c r="A1460" t="s">
        <v>14</v>
      </c>
      <c r="B1460">
        <v>2019</v>
      </c>
      <c r="C1460" s="1">
        <v>44114</v>
      </c>
      <c r="D1460" t="s">
        <v>8</v>
      </c>
      <c r="E1460">
        <v>179878</v>
      </c>
      <c r="F1460">
        <v>2371396</v>
      </c>
      <c r="G1460">
        <v>7.59</v>
      </c>
    </row>
    <row r="1461" spans="1:7" x14ac:dyDescent="0.45">
      <c r="A1461" t="s">
        <v>15</v>
      </c>
      <c r="B1461">
        <v>2019</v>
      </c>
      <c r="C1461" s="1">
        <v>44114</v>
      </c>
      <c r="D1461" t="s">
        <v>8</v>
      </c>
      <c r="E1461">
        <v>394610</v>
      </c>
      <c r="F1461">
        <v>3691561</v>
      </c>
      <c r="G1461">
        <v>10.69</v>
      </c>
    </row>
    <row r="1462" spans="1:7" x14ac:dyDescent="0.45">
      <c r="A1462" t="s">
        <v>16</v>
      </c>
      <c r="B1462">
        <v>2019</v>
      </c>
      <c r="C1462" s="1">
        <v>44114</v>
      </c>
      <c r="D1462" t="s">
        <v>8</v>
      </c>
      <c r="E1462">
        <v>378550</v>
      </c>
      <c r="F1462">
        <v>3799736</v>
      </c>
      <c r="G1462">
        <v>9.9600000000000009</v>
      </c>
    </row>
    <row r="1463" spans="1:7" x14ac:dyDescent="0.45">
      <c r="A1463" t="s">
        <v>17</v>
      </c>
      <c r="B1463">
        <v>2019</v>
      </c>
      <c r="C1463" s="1">
        <v>44114</v>
      </c>
      <c r="D1463" t="s">
        <v>8</v>
      </c>
      <c r="E1463">
        <v>647885</v>
      </c>
      <c r="F1463">
        <v>5862386</v>
      </c>
      <c r="G1463">
        <v>11.05</v>
      </c>
    </row>
    <row r="1464" spans="1:7" x14ac:dyDescent="0.45">
      <c r="A1464" t="s">
        <v>18</v>
      </c>
      <c r="B1464">
        <v>2019</v>
      </c>
      <c r="C1464" s="1">
        <v>44114</v>
      </c>
      <c r="D1464" t="s">
        <v>8</v>
      </c>
      <c r="E1464">
        <v>472996</v>
      </c>
      <c r="F1464">
        <v>5077875</v>
      </c>
      <c r="G1464">
        <v>9.31</v>
      </c>
    </row>
    <row r="1465" spans="1:7" x14ac:dyDescent="0.45">
      <c r="A1465" t="s">
        <v>19</v>
      </c>
      <c r="B1465">
        <v>2019</v>
      </c>
      <c r="C1465" s="1">
        <v>44114</v>
      </c>
      <c r="D1465" t="s">
        <v>8</v>
      </c>
      <c r="E1465">
        <v>76242</v>
      </c>
      <c r="F1465">
        <v>617880</v>
      </c>
      <c r="G1465">
        <v>12.34</v>
      </c>
    </row>
    <row r="1466" spans="1:7" x14ac:dyDescent="0.45">
      <c r="A1466" t="s">
        <v>20</v>
      </c>
      <c r="B1466">
        <v>2019</v>
      </c>
      <c r="C1466" s="1">
        <v>44114</v>
      </c>
      <c r="D1466" t="s">
        <v>8</v>
      </c>
      <c r="E1466">
        <v>1252118</v>
      </c>
      <c r="F1466">
        <v>23257363</v>
      </c>
      <c r="G1466">
        <v>5.38</v>
      </c>
    </row>
    <row r="1467" spans="1:7" x14ac:dyDescent="0.45">
      <c r="A1467" t="s">
        <v>21</v>
      </c>
      <c r="B1467">
        <v>2019</v>
      </c>
      <c r="C1467" s="1">
        <v>44114</v>
      </c>
      <c r="D1467" t="s">
        <v>8</v>
      </c>
      <c r="E1467">
        <v>426412</v>
      </c>
      <c r="F1467">
        <v>7094962</v>
      </c>
      <c r="G1467">
        <v>6.01</v>
      </c>
    </row>
    <row r="1468" spans="1:7" x14ac:dyDescent="0.45">
      <c r="A1468" t="s">
        <v>22</v>
      </c>
      <c r="B1468">
        <v>2019</v>
      </c>
      <c r="C1468" s="1">
        <v>44114</v>
      </c>
      <c r="D1468" t="s">
        <v>8</v>
      </c>
      <c r="E1468">
        <v>579318</v>
      </c>
      <c r="F1468">
        <v>4851640</v>
      </c>
      <c r="G1468">
        <v>11.94</v>
      </c>
    </row>
    <row r="1469" spans="1:7" x14ac:dyDescent="0.45">
      <c r="A1469" t="s">
        <v>7</v>
      </c>
      <c r="B1469">
        <v>2019</v>
      </c>
      <c r="C1469" s="1">
        <v>44114</v>
      </c>
      <c r="D1469" t="s">
        <v>23</v>
      </c>
      <c r="E1469">
        <v>24592</v>
      </c>
      <c r="F1469">
        <v>589481</v>
      </c>
      <c r="G1469">
        <v>4.17</v>
      </c>
    </row>
    <row r="1470" spans="1:7" x14ac:dyDescent="0.45">
      <c r="A1470" t="s">
        <v>9</v>
      </c>
      <c r="B1470">
        <v>2019</v>
      </c>
      <c r="C1470" s="1">
        <v>44114</v>
      </c>
      <c r="D1470" t="s">
        <v>23</v>
      </c>
      <c r="E1470">
        <v>40566</v>
      </c>
      <c r="F1470">
        <v>2476087</v>
      </c>
      <c r="G1470">
        <v>1.64</v>
      </c>
    </row>
    <row r="1471" spans="1:7" x14ac:dyDescent="0.45">
      <c r="A1471" t="s">
        <v>10</v>
      </c>
      <c r="B1471">
        <v>2019</v>
      </c>
      <c r="C1471" s="1">
        <v>44114</v>
      </c>
      <c r="D1471" t="s">
        <v>23</v>
      </c>
      <c r="E1471">
        <v>222357</v>
      </c>
      <c r="F1471">
        <v>4789291</v>
      </c>
      <c r="G1471">
        <v>4.6399999999999997</v>
      </c>
    </row>
    <row r="1472" spans="1:7" x14ac:dyDescent="0.45">
      <c r="A1472" t="s">
        <v>11</v>
      </c>
      <c r="B1472">
        <v>2019</v>
      </c>
      <c r="C1472" s="1">
        <v>44114</v>
      </c>
      <c r="D1472" t="s">
        <v>23</v>
      </c>
      <c r="E1472">
        <v>176539</v>
      </c>
      <c r="F1472">
        <v>3019188</v>
      </c>
      <c r="G1472">
        <v>5.85</v>
      </c>
    </row>
    <row r="1473" spans="1:7" x14ac:dyDescent="0.45">
      <c r="A1473" t="s">
        <v>12</v>
      </c>
      <c r="B1473">
        <v>2019</v>
      </c>
      <c r="C1473" s="1">
        <v>44114</v>
      </c>
      <c r="D1473" t="s">
        <v>23</v>
      </c>
      <c r="E1473">
        <v>861522</v>
      </c>
      <c r="F1473">
        <v>18207522</v>
      </c>
      <c r="G1473">
        <v>4.7300000000000004</v>
      </c>
    </row>
    <row r="1474" spans="1:7" x14ac:dyDescent="0.45">
      <c r="A1474" t="s">
        <v>13</v>
      </c>
      <c r="B1474">
        <v>2019</v>
      </c>
      <c r="C1474" s="1">
        <v>44114</v>
      </c>
      <c r="D1474" t="s">
        <v>23</v>
      </c>
      <c r="E1474">
        <v>466298</v>
      </c>
      <c r="F1474">
        <v>10512479</v>
      </c>
      <c r="G1474">
        <v>4.4400000000000004</v>
      </c>
    </row>
    <row r="1475" spans="1:7" x14ac:dyDescent="0.45">
      <c r="A1475" t="s">
        <v>15</v>
      </c>
      <c r="B1475">
        <v>2019</v>
      </c>
      <c r="C1475" s="1">
        <v>44114</v>
      </c>
      <c r="D1475" t="s">
        <v>23</v>
      </c>
      <c r="E1475">
        <v>88101</v>
      </c>
      <c r="F1475">
        <v>3691561</v>
      </c>
      <c r="G1475">
        <v>2.39</v>
      </c>
    </row>
    <row r="1476" spans="1:7" x14ac:dyDescent="0.45">
      <c r="A1476" t="s">
        <v>16</v>
      </c>
      <c r="B1476">
        <v>2019</v>
      </c>
      <c r="C1476" s="1">
        <v>44114</v>
      </c>
      <c r="D1476" t="s">
        <v>23</v>
      </c>
      <c r="E1476">
        <v>117680</v>
      </c>
      <c r="F1476">
        <v>3799736</v>
      </c>
      <c r="G1476">
        <v>3.1</v>
      </c>
    </row>
    <row r="1477" spans="1:7" x14ac:dyDescent="0.45">
      <c r="A1477" t="s">
        <v>17</v>
      </c>
      <c r="B1477">
        <v>2019</v>
      </c>
      <c r="C1477" s="1">
        <v>44114</v>
      </c>
      <c r="D1477" t="s">
        <v>23</v>
      </c>
      <c r="E1477">
        <v>342389</v>
      </c>
      <c r="F1477">
        <v>5862386</v>
      </c>
      <c r="G1477">
        <v>5.84</v>
      </c>
    </row>
    <row r="1478" spans="1:7" x14ac:dyDescent="0.45">
      <c r="A1478" t="s">
        <v>18</v>
      </c>
      <c r="B1478">
        <v>2019</v>
      </c>
      <c r="C1478" s="1">
        <v>44114</v>
      </c>
      <c r="D1478" t="s">
        <v>23</v>
      </c>
      <c r="E1478">
        <v>184148</v>
      </c>
      <c r="F1478">
        <v>5077875</v>
      </c>
      <c r="G1478">
        <v>3.63</v>
      </c>
    </row>
    <row r="1479" spans="1:7" x14ac:dyDescent="0.45">
      <c r="A1479" t="s">
        <v>19</v>
      </c>
      <c r="B1479">
        <v>2019</v>
      </c>
      <c r="C1479" s="1">
        <v>44114</v>
      </c>
      <c r="D1479" t="s">
        <v>23</v>
      </c>
      <c r="E1479">
        <v>18255</v>
      </c>
      <c r="F1479">
        <v>617880</v>
      </c>
      <c r="G1479">
        <v>2.95</v>
      </c>
    </row>
    <row r="1480" spans="1:7" x14ac:dyDescent="0.45">
      <c r="A1480" t="s">
        <v>24</v>
      </c>
      <c r="B1480">
        <v>2019</v>
      </c>
      <c r="C1480" s="1">
        <v>44114</v>
      </c>
      <c r="D1480" t="s">
        <v>23</v>
      </c>
      <c r="E1480">
        <v>182489</v>
      </c>
      <c r="F1480">
        <v>3547474</v>
      </c>
      <c r="G1480">
        <v>5.14</v>
      </c>
    </row>
    <row r="1481" spans="1:7" x14ac:dyDescent="0.45">
      <c r="A1481" t="s">
        <v>20</v>
      </c>
      <c r="B1481">
        <v>2019</v>
      </c>
      <c r="C1481" s="1">
        <v>44114</v>
      </c>
      <c r="D1481" t="s">
        <v>23</v>
      </c>
      <c r="E1481">
        <v>552957</v>
      </c>
      <c r="F1481">
        <v>23257363</v>
      </c>
      <c r="G1481">
        <v>2.38</v>
      </c>
    </row>
    <row r="1482" spans="1:7" x14ac:dyDescent="0.45">
      <c r="A1482" t="s">
        <v>21</v>
      </c>
      <c r="B1482">
        <v>2019</v>
      </c>
      <c r="C1482" s="1">
        <v>44114</v>
      </c>
      <c r="D1482" t="s">
        <v>23</v>
      </c>
      <c r="E1482">
        <v>316894</v>
      </c>
      <c r="F1482">
        <v>7094962</v>
      </c>
      <c r="G1482">
        <v>4.47</v>
      </c>
    </row>
    <row r="1483" spans="1:7" x14ac:dyDescent="0.45">
      <c r="A1483" t="s">
        <v>22</v>
      </c>
      <c r="B1483">
        <v>2019</v>
      </c>
      <c r="C1483" s="1">
        <v>44114</v>
      </c>
      <c r="D1483" t="s">
        <v>23</v>
      </c>
      <c r="E1483">
        <v>172803</v>
      </c>
      <c r="F1483">
        <v>4851640</v>
      </c>
      <c r="G1483">
        <v>3.56</v>
      </c>
    </row>
    <row r="1484" spans="1:7" x14ac:dyDescent="0.45">
      <c r="A1484" t="s">
        <v>7</v>
      </c>
      <c r="B1484">
        <v>2019</v>
      </c>
      <c r="C1484" s="1">
        <v>44114</v>
      </c>
      <c r="D1484" t="s">
        <v>25</v>
      </c>
      <c r="E1484">
        <v>47804</v>
      </c>
      <c r="F1484">
        <v>589481</v>
      </c>
      <c r="G1484">
        <v>8.11</v>
      </c>
    </row>
    <row r="1485" spans="1:7" x14ac:dyDescent="0.45">
      <c r="A1485" t="s">
        <v>9</v>
      </c>
      <c r="B1485">
        <v>2019</v>
      </c>
      <c r="C1485" s="1">
        <v>44114</v>
      </c>
      <c r="D1485" t="s">
        <v>25</v>
      </c>
      <c r="E1485">
        <v>205787</v>
      </c>
      <c r="F1485">
        <v>2476087</v>
      </c>
      <c r="G1485">
        <v>8.31</v>
      </c>
    </row>
    <row r="1486" spans="1:7" x14ac:dyDescent="0.45">
      <c r="A1486" t="s">
        <v>10</v>
      </c>
      <c r="B1486">
        <v>2019</v>
      </c>
      <c r="C1486" s="1">
        <v>44114</v>
      </c>
      <c r="D1486" t="s">
        <v>25</v>
      </c>
      <c r="E1486">
        <v>466317</v>
      </c>
      <c r="F1486">
        <v>4789291</v>
      </c>
      <c r="G1486">
        <v>9.74</v>
      </c>
    </row>
    <row r="1487" spans="1:7" x14ac:dyDescent="0.45">
      <c r="A1487" t="s">
        <v>11</v>
      </c>
      <c r="B1487">
        <v>2019</v>
      </c>
      <c r="C1487" s="1">
        <v>44114</v>
      </c>
      <c r="D1487" t="s">
        <v>25</v>
      </c>
      <c r="E1487">
        <v>195592</v>
      </c>
      <c r="F1487">
        <v>3019188</v>
      </c>
      <c r="G1487">
        <v>6.48</v>
      </c>
    </row>
    <row r="1488" spans="1:7" x14ac:dyDescent="0.45">
      <c r="A1488" t="s">
        <v>12</v>
      </c>
      <c r="B1488">
        <v>2019</v>
      </c>
      <c r="C1488" s="1">
        <v>44114</v>
      </c>
      <c r="D1488" t="s">
        <v>25</v>
      </c>
      <c r="E1488">
        <v>1654790</v>
      </c>
      <c r="F1488">
        <v>18207522</v>
      </c>
      <c r="G1488">
        <v>9.09</v>
      </c>
    </row>
    <row r="1489" spans="1:7" x14ac:dyDescent="0.45">
      <c r="A1489" t="s">
        <v>13</v>
      </c>
      <c r="B1489">
        <v>2019</v>
      </c>
      <c r="C1489" s="1">
        <v>44114</v>
      </c>
      <c r="D1489" t="s">
        <v>25</v>
      </c>
      <c r="E1489">
        <v>938287</v>
      </c>
      <c r="F1489">
        <v>10512479</v>
      </c>
      <c r="G1489">
        <v>8.93</v>
      </c>
    </row>
    <row r="1490" spans="1:7" x14ac:dyDescent="0.45">
      <c r="A1490" t="s">
        <v>14</v>
      </c>
      <c r="B1490">
        <v>2019</v>
      </c>
      <c r="C1490" s="1">
        <v>44114</v>
      </c>
      <c r="D1490" t="s">
        <v>25</v>
      </c>
      <c r="E1490">
        <v>193769</v>
      </c>
      <c r="F1490">
        <v>2371396</v>
      </c>
      <c r="G1490">
        <v>8.17</v>
      </c>
    </row>
    <row r="1491" spans="1:7" x14ac:dyDescent="0.45">
      <c r="A1491" t="s">
        <v>15</v>
      </c>
      <c r="B1491">
        <v>2019</v>
      </c>
      <c r="C1491" s="1">
        <v>44114</v>
      </c>
      <c r="D1491" t="s">
        <v>25</v>
      </c>
      <c r="E1491">
        <v>313791</v>
      </c>
      <c r="F1491">
        <v>3691561</v>
      </c>
      <c r="G1491">
        <v>8.5</v>
      </c>
    </row>
    <row r="1492" spans="1:7" x14ac:dyDescent="0.45">
      <c r="A1492" t="s">
        <v>17</v>
      </c>
      <c r="B1492">
        <v>2019</v>
      </c>
      <c r="C1492" s="1">
        <v>44114</v>
      </c>
      <c r="D1492" t="s">
        <v>25</v>
      </c>
      <c r="E1492">
        <v>360341</v>
      </c>
      <c r="F1492">
        <v>5862386</v>
      </c>
      <c r="G1492">
        <v>6.15</v>
      </c>
    </row>
    <row r="1493" spans="1:7" x14ac:dyDescent="0.45">
      <c r="A1493" t="s">
        <v>18</v>
      </c>
      <c r="B1493">
        <v>2019</v>
      </c>
      <c r="C1493" s="1">
        <v>44114</v>
      </c>
      <c r="D1493" t="s">
        <v>25</v>
      </c>
      <c r="E1493">
        <v>457584</v>
      </c>
      <c r="F1493">
        <v>5077875</v>
      </c>
      <c r="G1493">
        <v>9.01</v>
      </c>
    </row>
    <row r="1494" spans="1:7" x14ac:dyDescent="0.45">
      <c r="A1494" t="s">
        <v>19</v>
      </c>
      <c r="B1494">
        <v>2019</v>
      </c>
      <c r="C1494" s="1">
        <v>44114</v>
      </c>
      <c r="D1494" t="s">
        <v>25</v>
      </c>
      <c r="E1494">
        <v>62336</v>
      </c>
      <c r="F1494">
        <v>617880</v>
      </c>
      <c r="G1494">
        <v>10.09</v>
      </c>
    </row>
    <row r="1495" spans="1:7" x14ac:dyDescent="0.45">
      <c r="A1495" t="s">
        <v>24</v>
      </c>
      <c r="B1495">
        <v>2019</v>
      </c>
      <c r="C1495" s="1">
        <v>44114</v>
      </c>
      <c r="D1495" t="s">
        <v>25</v>
      </c>
      <c r="E1495">
        <v>337978</v>
      </c>
      <c r="F1495">
        <v>3547474</v>
      </c>
      <c r="G1495">
        <v>9.5299999999999994</v>
      </c>
    </row>
    <row r="1496" spans="1:7" x14ac:dyDescent="0.45">
      <c r="A1496" t="s">
        <v>20</v>
      </c>
      <c r="B1496">
        <v>2019</v>
      </c>
      <c r="C1496" s="1">
        <v>44114</v>
      </c>
      <c r="D1496" t="s">
        <v>25</v>
      </c>
      <c r="E1496">
        <v>2209808</v>
      </c>
      <c r="F1496">
        <v>23257363</v>
      </c>
      <c r="G1496">
        <v>9.5</v>
      </c>
    </row>
    <row r="1497" spans="1:7" x14ac:dyDescent="0.45">
      <c r="A1497" t="s">
        <v>21</v>
      </c>
      <c r="B1497">
        <v>2019</v>
      </c>
      <c r="C1497" s="1">
        <v>44114</v>
      </c>
      <c r="D1497" t="s">
        <v>25</v>
      </c>
      <c r="E1497">
        <v>586718</v>
      </c>
      <c r="F1497">
        <v>7094962</v>
      </c>
      <c r="G1497">
        <v>8.27</v>
      </c>
    </row>
    <row r="1498" spans="1:7" x14ac:dyDescent="0.45">
      <c r="A1498" t="s">
        <v>7</v>
      </c>
      <c r="B1498">
        <v>2019</v>
      </c>
      <c r="C1498" s="1">
        <v>44146</v>
      </c>
      <c r="D1498" t="s">
        <v>8</v>
      </c>
      <c r="E1498">
        <v>56012</v>
      </c>
      <c r="F1498">
        <v>589481</v>
      </c>
      <c r="G1498">
        <v>9.5</v>
      </c>
    </row>
    <row r="1499" spans="1:7" x14ac:dyDescent="0.45">
      <c r="A1499" t="s">
        <v>9</v>
      </c>
      <c r="B1499">
        <v>2019</v>
      </c>
      <c r="C1499" s="1">
        <v>44146</v>
      </c>
      <c r="D1499" t="s">
        <v>8</v>
      </c>
      <c r="E1499">
        <v>183515</v>
      </c>
      <c r="F1499">
        <v>2476087</v>
      </c>
      <c r="G1499">
        <v>7.41</v>
      </c>
    </row>
    <row r="1500" spans="1:7" x14ac:dyDescent="0.45">
      <c r="A1500" t="s">
        <v>10</v>
      </c>
      <c r="B1500">
        <v>2019</v>
      </c>
      <c r="C1500" s="1">
        <v>44146</v>
      </c>
      <c r="D1500" t="s">
        <v>8</v>
      </c>
      <c r="E1500">
        <v>438208</v>
      </c>
      <c r="F1500">
        <v>4789291</v>
      </c>
      <c r="G1500">
        <v>9.15</v>
      </c>
    </row>
    <row r="1501" spans="1:7" x14ac:dyDescent="0.45">
      <c r="A1501" t="s">
        <v>11</v>
      </c>
      <c r="B1501">
        <v>2019</v>
      </c>
      <c r="C1501" s="1">
        <v>44146</v>
      </c>
      <c r="D1501" t="s">
        <v>8</v>
      </c>
      <c r="E1501">
        <v>297353</v>
      </c>
      <c r="F1501">
        <v>3019188</v>
      </c>
      <c r="G1501">
        <v>9.85</v>
      </c>
    </row>
    <row r="1502" spans="1:7" x14ac:dyDescent="0.45">
      <c r="A1502" t="s">
        <v>12</v>
      </c>
      <c r="B1502">
        <v>2019</v>
      </c>
      <c r="C1502" s="1">
        <v>44146</v>
      </c>
      <c r="D1502" t="s">
        <v>8</v>
      </c>
      <c r="E1502">
        <v>1741210</v>
      </c>
      <c r="F1502">
        <v>18207522</v>
      </c>
      <c r="G1502">
        <v>9.56</v>
      </c>
    </row>
    <row r="1503" spans="1:7" x14ac:dyDescent="0.45">
      <c r="A1503" t="s">
        <v>13</v>
      </c>
      <c r="B1503">
        <v>2019</v>
      </c>
      <c r="C1503" s="1">
        <v>44146</v>
      </c>
      <c r="D1503" t="s">
        <v>8</v>
      </c>
      <c r="E1503">
        <v>787673</v>
      </c>
      <c r="F1503">
        <v>10512479</v>
      </c>
      <c r="G1503">
        <v>7.49</v>
      </c>
    </row>
    <row r="1504" spans="1:7" x14ac:dyDescent="0.45">
      <c r="A1504" t="s">
        <v>14</v>
      </c>
      <c r="B1504">
        <v>2019</v>
      </c>
      <c r="C1504" s="1">
        <v>44146</v>
      </c>
      <c r="D1504" t="s">
        <v>8</v>
      </c>
      <c r="E1504">
        <v>192258</v>
      </c>
      <c r="F1504">
        <v>2371396</v>
      </c>
      <c r="G1504">
        <v>8.11</v>
      </c>
    </row>
    <row r="1505" spans="1:7" x14ac:dyDescent="0.45">
      <c r="A1505" t="s">
        <v>15</v>
      </c>
      <c r="B1505">
        <v>2019</v>
      </c>
      <c r="C1505" s="1">
        <v>44146</v>
      </c>
      <c r="D1505" t="s">
        <v>8</v>
      </c>
      <c r="E1505">
        <v>303697</v>
      </c>
      <c r="F1505">
        <v>3691561</v>
      </c>
      <c r="G1505">
        <v>8.23</v>
      </c>
    </row>
    <row r="1506" spans="1:7" x14ac:dyDescent="0.45">
      <c r="A1506" t="s">
        <v>16</v>
      </c>
      <c r="B1506">
        <v>2019</v>
      </c>
      <c r="C1506" s="1">
        <v>44146</v>
      </c>
      <c r="D1506" t="s">
        <v>8</v>
      </c>
      <c r="E1506">
        <v>345909</v>
      </c>
      <c r="F1506">
        <v>3799736</v>
      </c>
      <c r="G1506">
        <v>9.1</v>
      </c>
    </row>
    <row r="1507" spans="1:7" x14ac:dyDescent="0.45">
      <c r="A1507" t="s">
        <v>17</v>
      </c>
      <c r="B1507">
        <v>2019</v>
      </c>
      <c r="C1507" s="1">
        <v>44146</v>
      </c>
      <c r="D1507" t="s">
        <v>8</v>
      </c>
      <c r="E1507">
        <v>479570</v>
      </c>
      <c r="F1507">
        <v>5862386</v>
      </c>
      <c r="G1507">
        <v>8.18</v>
      </c>
    </row>
    <row r="1508" spans="1:7" x14ac:dyDescent="0.45">
      <c r="A1508" t="s">
        <v>18</v>
      </c>
      <c r="B1508">
        <v>2019</v>
      </c>
      <c r="C1508" s="1">
        <v>44146</v>
      </c>
      <c r="D1508" t="s">
        <v>8</v>
      </c>
      <c r="E1508">
        <v>536684</v>
      </c>
      <c r="F1508">
        <v>5077875</v>
      </c>
      <c r="G1508">
        <v>10.57</v>
      </c>
    </row>
    <row r="1509" spans="1:7" x14ac:dyDescent="0.45">
      <c r="A1509" t="s">
        <v>19</v>
      </c>
      <c r="B1509">
        <v>2019</v>
      </c>
      <c r="C1509" s="1">
        <v>44146</v>
      </c>
      <c r="D1509" t="s">
        <v>8</v>
      </c>
      <c r="E1509">
        <v>62840</v>
      </c>
      <c r="F1509">
        <v>617880</v>
      </c>
      <c r="G1509">
        <v>10.17</v>
      </c>
    </row>
    <row r="1510" spans="1:7" x14ac:dyDescent="0.45">
      <c r="A1510" t="s">
        <v>20</v>
      </c>
      <c r="B1510">
        <v>2019</v>
      </c>
      <c r="C1510" s="1">
        <v>44146</v>
      </c>
      <c r="D1510" t="s">
        <v>8</v>
      </c>
      <c r="E1510">
        <v>1518519</v>
      </c>
      <c r="F1510">
        <v>23257363</v>
      </c>
      <c r="G1510">
        <v>6.53</v>
      </c>
    </row>
    <row r="1511" spans="1:7" x14ac:dyDescent="0.45">
      <c r="A1511" t="s">
        <v>21</v>
      </c>
      <c r="B1511">
        <v>2019</v>
      </c>
      <c r="C1511" s="1">
        <v>44146</v>
      </c>
      <c r="D1511" t="s">
        <v>8</v>
      </c>
      <c r="E1511">
        <v>481326</v>
      </c>
      <c r="F1511">
        <v>7094962</v>
      </c>
      <c r="G1511">
        <v>6.78</v>
      </c>
    </row>
    <row r="1512" spans="1:7" x14ac:dyDescent="0.45">
      <c r="A1512" t="s">
        <v>22</v>
      </c>
      <c r="B1512">
        <v>2019</v>
      </c>
      <c r="C1512" s="1">
        <v>44146</v>
      </c>
      <c r="D1512" t="s">
        <v>8</v>
      </c>
      <c r="E1512">
        <v>605955</v>
      </c>
      <c r="F1512">
        <v>4851640</v>
      </c>
      <c r="G1512">
        <v>12.49</v>
      </c>
    </row>
    <row r="1513" spans="1:7" x14ac:dyDescent="0.45">
      <c r="A1513" t="s">
        <v>7</v>
      </c>
      <c r="B1513">
        <v>2019</v>
      </c>
      <c r="C1513" s="1">
        <v>44146</v>
      </c>
      <c r="D1513" t="s">
        <v>23</v>
      </c>
      <c r="E1513">
        <v>25264</v>
      </c>
      <c r="F1513">
        <v>589481</v>
      </c>
      <c r="G1513">
        <v>4.29</v>
      </c>
    </row>
    <row r="1514" spans="1:7" x14ac:dyDescent="0.45">
      <c r="A1514" t="s">
        <v>9</v>
      </c>
      <c r="B1514">
        <v>2019</v>
      </c>
      <c r="C1514" s="1">
        <v>44146</v>
      </c>
      <c r="D1514" t="s">
        <v>23</v>
      </c>
      <c r="E1514">
        <v>53608</v>
      </c>
      <c r="F1514">
        <v>2476087</v>
      </c>
      <c r="G1514">
        <v>2.17</v>
      </c>
    </row>
    <row r="1515" spans="1:7" x14ac:dyDescent="0.45">
      <c r="A1515" t="s">
        <v>10</v>
      </c>
      <c r="B1515">
        <v>2019</v>
      </c>
      <c r="C1515" s="1">
        <v>44146</v>
      </c>
      <c r="D1515" t="s">
        <v>23</v>
      </c>
      <c r="E1515">
        <v>205497</v>
      </c>
      <c r="F1515">
        <v>4789291</v>
      </c>
      <c r="G1515">
        <v>4.29</v>
      </c>
    </row>
    <row r="1516" spans="1:7" x14ac:dyDescent="0.45">
      <c r="A1516" t="s">
        <v>11</v>
      </c>
      <c r="B1516">
        <v>2019</v>
      </c>
      <c r="C1516" s="1">
        <v>44146</v>
      </c>
      <c r="D1516" t="s">
        <v>23</v>
      </c>
      <c r="E1516">
        <v>177342</v>
      </c>
      <c r="F1516">
        <v>3019188</v>
      </c>
      <c r="G1516">
        <v>5.87</v>
      </c>
    </row>
    <row r="1517" spans="1:7" x14ac:dyDescent="0.45">
      <c r="A1517" t="s">
        <v>12</v>
      </c>
      <c r="B1517">
        <v>2019</v>
      </c>
      <c r="C1517" s="1">
        <v>44146</v>
      </c>
      <c r="D1517" t="s">
        <v>23</v>
      </c>
      <c r="E1517">
        <v>952212</v>
      </c>
      <c r="F1517">
        <v>18207522</v>
      </c>
      <c r="G1517">
        <v>5.23</v>
      </c>
    </row>
    <row r="1518" spans="1:7" x14ac:dyDescent="0.45">
      <c r="A1518" t="s">
        <v>13</v>
      </c>
      <c r="B1518">
        <v>2019</v>
      </c>
      <c r="C1518" s="1">
        <v>44146</v>
      </c>
      <c r="D1518" t="s">
        <v>23</v>
      </c>
      <c r="E1518">
        <v>435762</v>
      </c>
      <c r="F1518">
        <v>10512479</v>
      </c>
      <c r="G1518">
        <v>4.1500000000000004</v>
      </c>
    </row>
    <row r="1519" spans="1:7" x14ac:dyDescent="0.45">
      <c r="A1519" t="s">
        <v>15</v>
      </c>
      <c r="B1519">
        <v>2019</v>
      </c>
      <c r="C1519" s="1">
        <v>44146</v>
      </c>
      <c r="D1519" t="s">
        <v>23</v>
      </c>
      <c r="E1519">
        <v>74892</v>
      </c>
      <c r="F1519">
        <v>3691561</v>
      </c>
      <c r="G1519">
        <v>2.0299999999999998</v>
      </c>
    </row>
    <row r="1520" spans="1:7" x14ac:dyDescent="0.45">
      <c r="A1520" t="s">
        <v>16</v>
      </c>
      <c r="B1520">
        <v>2019</v>
      </c>
      <c r="C1520" s="1">
        <v>44146</v>
      </c>
      <c r="D1520" t="s">
        <v>23</v>
      </c>
      <c r="E1520">
        <v>121305</v>
      </c>
      <c r="F1520">
        <v>3799736</v>
      </c>
      <c r="G1520">
        <v>3.19</v>
      </c>
    </row>
    <row r="1521" spans="1:7" x14ac:dyDescent="0.45">
      <c r="A1521" t="s">
        <v>17</v>
      </c>
      <c r="B1521">
        <v>2019</v>
      </c>
      <c r="C1521" s="1">
        <v>44146</v>
      </c>
      <c r="D1521" t="s">
        <v>23</v>
      </c>
      <c r="E1521">
        <v>312366</v>
      </c>
      <c r="F1521">
        <v>5862386</v>
      </c>
      <c r="G1521">
        <v>5.33</v>
      </c>
    </row>
    <row r="1522" spans="1:7" x14ac:dyDescent="0.45">
      <c r="A1522" t="s">
        <v>18</v>
      </c>
      <c r="B1522">
        <v>2019</v>
      </c>
      <c r="C1522" s="1">
        <v>44146</v>
      </c>
      <c r="D1522" t="s">
        <v>23</v>
      </c>
      <c r="E1522">
        <v>167768</v>
      </c>
      <c r="F1522">
        <v>5077875</v>
      </c>
      <c r="G1522">
        <v>3.3</v>
      </c>
    </row>
    <row r="1523" spans="1:7" x14ac:dyDescent="0.45">
      <c r="A1523" t="s">
        <v>19</v>
      </c>
      <c r="B1523">
        <v>2019</v>
      </c>
      <c r="C1523" s="1">
        <v>44146</v>
      </c>
      <c r="D1523" t="s">
        <v>23</v>
      </c>
      <c r="E1523">
        <v>21765</v>
      </c>
      <c r="F1523">
        <v>617880</v>
      </c>
      <c r="G1523">
        <v>3.52</v>
      </c>
    </row>
    <row r="1524" spans="1:7" x14ac:dyDescent="0.45">
      <c r="A1524" t="s">
        <v>24</v>
      </c>
      <c r="B1524">
        <v>2019</v>
      </c>
      <c r="C1524" s="1">
        <v>44146</v>
      </c>
      <c r="D1524" t="s">
        <v>23</v>
      </c>
      <c r="E1524">
        <v>150200</v>
      </c>
      <c r="F1524">
        <v>3547474</v>
      </c>
      <c r="G1524">
        <v>4.2300000000000004</v>
      </c>
    </row>
    <row r="1525" spans="1:7" x14ac:dyDescent="0.45">
      <c r="A1525" t="s">
        <v>20</v>
      </c>
      <c r="B1525">
        <v>2019</v>
      </c>
      <c r="C1525" s="1">
        <v>44146</v>
      </c>
      <c r="D1525" t="s">
        <v>23</v>
      </c>
      <c r="E1525">
        <v>656519</v>
      </c>
      <c r="F1525">
        <v>23257363</v>
      </c>
      <c r="G1525">
        <v>2.82</v>
      </c>
    </row>
    <row r="1526" spans="1:7" x14ac:dyDescent="0.45">
      <c r="A1526" t="s">
        <v>21</v>
      </c>
      <c r="B1526">
        <v>2019</v>
      </c>
      <c r="C1526" s="1">
        <v>44146</v>
      </c>
      <c r="D1526" t="s">
        <v>23</v>
      </c>
      <c r="E1526">
        <v>319904</v>
      </c>
      <c r="F1526">
        <v>7094962</v>
      </c>
      <c r="G1526">
        <v>4.51</v>
      </c>
    </row>
    <row r="1527" spans="1:7" x14ac:dyDescent="0.45">
      <c r="A1527" t="s">
        <v>22</v>
      </c>
      <c r="B1527">
        <v>2019</v>
      </c>
      <c r="C1527" s="1">
        <v>44146</v>
      </c>
      <c r="D1527" t="s">
        <v>23</v>
      </c>
      <c r="E1527">
        <v>188741</v>
      </c>
      <c r="F1527">
        <v>4851640</v>
      </c>
      <c r="G1527">
        <v>3.89</v>
      </c>
    </row>
    <row r="1528" spans="1:7" x14ac:dyDescent="0.45">
      <c r="A1528" t="s">
        <v>7</v>
      </c>
      <c r="B1528">
        <v>2019</v>
      </c>
      <c r="C1528" s="1">
        <v>44146</v>
      </c>
      <c r="D1528" t="s">
        <v>25</v>
      </c>
      <c r="E1528">
        <v>42866</v>
      </c>
      <c r="F1528">
        <v>589481</v>
      </c>
      <c r="G1528">
        <v>7.27</v>
      </c>
    </row>
    <row r="1529" spans="1:7" x14ac:dyDescent="0.45">
      <c r="A1529" t="s">
        <v>9</v>
      </c>
      <c r="B1529">
        <v>2019</v>
      </c>
      <c r="C1529" s="1">
        <v>44146</v>
      </c>
      <c r="D1529" t="s">
        <v>25</v>
      </c>
      <c r="E1529">
        <v>192113</v>
      </c>
      <c r="F1529">
        <v>2476087</v>
      </c>
      <c r="G1529">
        <v>7.76</v>
      </c>
    </row>
    <row r="1530" spans="1:7" x14ac:dyDescent="0.45">
      <c r="A1530" t="s">
        <v>10</v>
      </c>
      <c r="B1530">
        <v>2019</v>
      </c>
      <c r="C1530" s="1">
        <v>44146</v>
      </c>
      <c r="D1530" t="s">
        <v>25</v>
      </c>
      <c r="E1530">
        <v>419697</v>
      </c>
      <c r="F1530">
        <v>4789291</v>
      </c>
      <c r="G1530">
        <v>8.76</v>
      </c>
    </row>
    <row r="1531" spans="1:7" x14ac:dyDescent="0.45">
      <c r="A1531" t="s">
        <v>11</v>
      </c>
      <c r="B1531">
        <v>2019</v>
      </c>
      <c r="C1531" s="1">
        <v>44146</v>
      </c>
      <c r="D1531" t="s">
        <v>25</v>
      </c>
      <c r="E1531">
        <v>183021</v>
      </c>
      <c r="F1531">
        <v>3019188</v>
      </c>
      <c r="G1531">
        <v>6.06</v>
      </c>
    </row>
    <row r="1532" spans="1:7" x14ac:dyDescent="0.45">
      <c r="A1532" t="s">
        <v>12</v>
      </c>
      <c r="B1532">
        <v>2019</v>
      </c>
      <c r="C1532" s="1">
        <v>44146</v>
      </c>
      <c r="D1532" t="s">
        <v>25</v>
      </c>
      <c r="E1532">
        <v>1557307</v>
      </c>
      <c r="F1532">
        <v>18207522</v>
      </c>
      <c r="G1532">
        <v>8.5500000000000007</v>
      </c>
    </row>
    <row r="1533" spans="1:7" x14ac:dyDescent="0.45">
      <c r="A1533" t="s">
        <v>13</v>
      </c>
      <c r="B1533">
        <v>2019</v>
      </c>
      <c r="C1533" s="1">
        <v>44146</v>
      </c>
      <c r="D1533" t="s">
        <v>25</v>
      </c>
      <c r="E1533">
        <v>859161</v>
      </c>
      <c r="F1533">
        <v>10512479</v>
      </c>
      <c r="G1533">
        <v>8.17</v>
      </c>
    </row>
    <row r="1534" spans="1:7" x14ac:dyDescent="0.45">
      <c r="A1534" t="s">
        <v>14</v>
      </c>
      <c r="B1534">
        <v>2019</v>
      </c>
      <c r="C1534" s="1">
        <v>44146</v>
      </c>
      <c r="D1534" t="s">
        <v>25</v>
      </c>
      <c r="E1534">
        <v>201894</v>
      </c>
      <c r="F1534">
        <v>2371396</v>
      </c>
      <c r="G1534">
        <v>8.51</v>
      </c>
    </row>
    <row r="1535" spans="1:7" x14ac:dyDescent="0.45">
      <c r="A1535" t="s">
        <v>15</v>
      </c>
      <c r="B1535">
        <v>2019</v>
      </c>
      <c r="C1535" s="1">
        <v>44146</v>
      </c>
      <c r="D1535" t="s">
        <v>25</v>
      </c>
      <c r="E1535">
        <v>350040</v>
      </c>
      <c r="F1535">
        <v>3691561</v>
      </c>
      <c r="G1535">
        <v>9.48</v>
      </c>
    </row>
    <row r="1536" spans="1:7" x14ac:dyDescent="0.45">
      <c r="A1536" t="s">
        <v>17</v>
      </c>
      <c r="B1536">
        <v>2019</v>
      </c>
      <c r="C1536" s="1">
        <v>44146</v>
      </c>
      <c r="D1536" t="s">
        <v>25</v>
      </c>
      <c r="E1536">
        <v>383451</v>
      </c>
      <c r="F1536">
        <v>5862386</v>
      </c>
      <c r="G1536">
        <v>6.54</v>
      </c>
    </row>
    <row r="1537" spans="1:7" x14ac:dyDescent="0.45">
      <c r="A1537" t="s">
        <v>18</v>
      </c>
      <c r="B1537">
        <v>2019</v>
      </c>
      <c r="C1537" s="1">
        <v>44146</v>
      </c>
      <c r="D1537" t="s">
        <v>25</v>
      </c>
      <c r="E1537">
        <v>420943</v>
      </c>
      <c r="F1537">
        <v>5077875</v>
      </c>
      <c r="G1537">
        <v>8.2899999999999991</v>
      </c>
    </row>
    <row r="1538" spans="1:7" x14ac:dyDescent="0.45">
      <c r="A1538" t="s">
        <v>19</v>
      </c>
      <c r="B1538">
        <v>2019</v>
      </c>
      <c r="C1538" s="1">
        <v>44146</v>
      </c>
      <c r="D1538" t="s">
        <v>25</v>
      </c>
      <c r="E1538">
        <v>68253</v>
      </c>
      <c r="F1538">
        <v>617880</v>
      </c>
      <c r="G1538">
        <v>11.05</v>
      </c>
    </row>
    <row r="1539" spans="1:7" x14ac:dyDescent="0.45">
      <c r="A1539" t="s">
        <v>24</v>
      </c>
      <c r="B1539">
        <v>2019</v>
      </c>
      <c r="C1539" s="1">
        <v>44146</v>
      </c>
      <c r="D1539" t="s">
        <v>25</v>
      </c>
      <c r="E1539">
        <v>311962</v>
      </c>
      <c r="F1539">
        <v>3547474</v>
      </c>
      <c r="G1539">
        <v>8.7899999999999991</v>
      </c>
    </row>
    <row r="1540" spans="1:7" x14ac:dyDescent="0.45">
      <c r="A1540" t="s">
        <v>20</v>
      </c>
      <c r="B1540">
        <v>2019</v>
      </c>
      <c r="C1540" s="1">
        <v>44146</v>
      </c>
      <c r="D1540" t="s">
        <v>25</v>
      </c>
      <c r="E1540">
        <v>2482509</v>
      </c>
      <c r="F1540">
        <v>23257363</v>
      </c>
      <c r="G1540">
        <v>10.67</v>
      </c>
    </row>
    <row r="1541" spans="1:7" x14ac:dyDescent="0.45">
      <c r="A1541" t="s">
        <v>21</v>
      </c>
      <c r="B1541">
        <v>2019</v>
      </c>
      <c r="C1541" s="1">
        <v>44146</v>
      </c>
      <c r="D1541" t="s">
        <v>25</v>
      </c>
      <c r="E1541">
        <v>518639</v>
      </c>
      <c r="F1541">
        <v>7094962</v>
      </c>
      <c r="G1541">
        <v>7.31</v>
      </c>
    </row>
    <row r="1542" spans="1:7" x14ac:dyDescent="0.45">
      <c r="A1542" t="s">
        <v>7</v>
      </c>
      <c r="B1542">
        <v>2019</v>
      </c>
      <c r="C1542" s="1">
        <v>44177</v>
      </c>
      <c r="D1542" t="s">
        <v>8</v>
      </c>
      <c r="E1542">
        <v>66386</v>
      </c>
      <c r="F1542">
        <v>589481</v>
      </c>
      <c r="G1542">
        <v>11.26</v>
      </c>
    </row>
    <row r="1543" spans="1:7" x14ac:dyDescent="0.45">
      <c r="A1543" t="s">
        <v>9</v>
      </c>
      <c r="B1543">
        <v>2019</v>
      </c>
      <c r="C1543" s="1">
        <v>44177</v>
      </c>
      <c r="D1543" t="s">
        <v>8</v>
      </c>
      <c r="E1543">
        <v>168261</v>
      </c>
      <c r="F1543">
        <v>2476087</v>
      </c>
      <c r="G1543">
        <v>6.8</v>
      </c>
    </row>
    <row r="1544" spans="1:7" x14ac:dyDescent="0.45">
      <c r="A1544" t="s">
        <v>10</v>
      </c>
      <c r="B1544">
        <v>2019</v>
      </c>
      <c r="C1544" s="1">
        <v>44177</v>
      </c>
      <c r="D1544" t="s">
        <v>8</v>
      </c>
      <c r="E1544">
        <v>484117</v>
      </c>
      <c r="F1544">
        <v>4789291</v>
      </c>
      <c r="G1544">
        <v>10.11</v>
      </c>
    </row>
    <row r="1545" spans="1:7" x14ac:dyDescent="0.45">
      <c r="A1545" t="s">
        <v>11</v>
      </c>
      <c r="B1545">
        <v>2019</v>
      </c>
      <c r="C1545" s="1">
        <v>44177</v>
      </c>
      <c r="D1545" t="s">
        <v>8</v>
      </c>
      <c r="E1545">
        <v>285178</v>
      </c>
      <c r="F1545">
        <v>3019188</v>
      </c>
      <c r="G1545">
        <v>9.4499999999999993</v>
      </c>
    </row>
    <row r="1546" spans="1:7" x14ac:dyDescent="0.45">
      <c r="A1546" t="s">
        <v>12</v>
      </c>
      <c r="B1546">
        <v>2019</v>
      </c>
      <c r="C1546" s="1">
        <v>44177</v>
      </c>
      <c r="D1546" t="s">
        <v>8</v>
      </c>
      <c r="E1546">
        <v>2394265</v>
      </c>
      <c r="F1546">
        <v>18207522</v>
      </c>
      <c r="G1546">
        <v>13.15</v>
      </c>
    </row>
    <row r="1547" spans="1:7" x14ac:dyDescent="0.45">
      <c r="A1547" t="s">
        <v>13</v>
      </c>
      <c r="B1547">
        <v>2019</v>
      </c>
      <c r="C1547" s="1">
        <v>44177</v>
      </c>
      <c r="D1547" t="s">
        <v>8</v>
      </c>
      <c r="E1547">
        <v>1107279</v>
      </c>
      <c r="F1547">
        <v>10512479</v>
      </c>
      <c r="G1547">
        <v>10.53</v>
      </c>
    </row>
    <row r="1548" spans="1:7" x14ac:dyDescent="0.45">
      <c r="A1548" t="s">
        <v>14</v>
      </c>
      <c r="B1548">
        <v>2019</v>
      </c>
      <c r="C1548" s="1">
        <v>44177</v>
      </c>
      <c r="D1548" t="s">
        <v>8</v>
      </c>
      <c r="E1548">
        <v>168627</v>
      </c>
      <c r="F1548">
        <v>2371396</v>
      </c>
      <c r="G1548">
        <v>7.11</v>
      </c>
    </row>
    <row r="1549" spans="1:7" x14ac:dyDescent="0.45">
      <c r="A1549" t="s">
        <v>15</v>
      </c>
      <c r="B1549">
        <v>2019</v>
      </c>
      <c r="C1549" s="1">
        <v>44177</v>
      </c>
      <c r="D1549" t="s">
        <v>8</v>
      </c>
      <c r="E1549">
        <v>274656</v>
      </c>
      <c r="F1549">
        <v>3691561</v>
      </c>
      <c r="G1549">
        <v>7.44</v>
      </c>
    </row>
    <row r="1550" spans="1:7" x14ac:dyDescent="0.45">
      <c r="A1550" t="s">
        <v>16</v>
      </c>
      <c r="B1550">
        <v>2019</v>
      </c>
      <c r="C1550" s="1">
        <v>44177</v>
      </c>
      <c r="D1550" t="s">
        <v>8</v>
      </c>
      <c r="E1550">
        <v>423955</v>
      </c>
      <c r="F1550">
        <v>3799736</v>
      </c>
      <c r="G1550">
        <v>11.16</v>
      </c>
    </row>
    <row r="1551" spans="1:7" x14ac:dyDescent="0.45">
      <c r="A1551" t="s">
        <v>17</v>
      </c>
      <c r="B1551">
        <v>2019</v>
      </c>
      <c r="C1551" s="1">
        <v>44177</v>
      </c>
      <c r="D1551" t="s">
        <v>8</v>
      </c>
      <c r="E1551">
        <v>753136</v>
      </c>
      <c r="F1551">
        <v>5862386</v>
      </c>
      <c r="G1551">
        <v>12.85</v>
      </c>
    </row>
    <row r="1552" spans="1:7" x14ac:dyDescent="0.45">
      <c r="A1552" t="s">
        <v>18</v>
      </c>
      <c r="B1552">
        <v>2019</v>
      </c>
      <c r="C1552" s="1">
        <v>44177</v>
      </c>
      <c r="D1552" t="s">
        <v>8</v>
      </c>
      <c r="E1552">
        <v>514530</v>
      </c>
      <c r="F1552">
        <v>5077875</v>
      </c>
      <c r="G1552">
        <v>10.130000000000001</v>
      </c>
    </row>
    <row r="1553" spans="1:7" x14ac:dyDescent="0.45">
      <c r="A1553" t="s">
        <v>19</v>
      </c>
      <c r="B1553">
        <v>2019</v>
      </c>
      <c r="C1553" s="1">
        <v>44177</v>
      </c>
      <c r="D1553" t="s">
        <v>8</v>
      </c>
      <c r="E1553">
        <v>93379</v>
      </c>
      <c r="F1553">
        <v>617880</v>
      </c>
      <c r="G1553">
        <v>15.11</v>
      </c>
    </row>
    <row r="1554" spans="1:7" x14ac:dyDescent="0.45">
      <c r="A1554" t="s">
        <v>20</v>
      </c>
      <c r="B1554">
        <v>2019</v>
      </c>
      <c r="C1554" s="1">
        <v>44177</v>
      </c>
      <c r="D1554" t="s">
        <v>8</v>
      </c>
      <c r="E1554">
        <v>1547600</v>
      </c>
      <c r="F1554">
        <v>23257363</v>
      </c>
      <c r="G1554">
        <v>6.65</v>
      </c>
    </row>
    <row r="1555" spans="1:7" x14ac:dyDescent="0.45">
      <c r="A1555" t="s">
        <v>21</v>
      </c>
      <c r="B1555">
        <v>2019</v>
      </c>
      <c r="C1555" s="1">
        <v>44177</v>
      </c>
      <c r="D1555" t="s">
        <v>8</v>
      </c>
      <c r="E1555">
        <v>549479</v>
      </c>
      <c r="F1555">
        <v>7094962</v>
      </c>
      <c r="G1555">
        <v>7.74</v>
      </c>
    </row>
    <row r="1556" spans="1:7" x14ac:dyDescent="0.45">
      <c r="A1556" t="s">
        <v>22</v>
      </c>
      <c r="B1556">
        <v>2019</v>
      </c>
      <c r="C1556" s="1">
        <v>44177</v>
      </c>
      <c r="D1556" t="s">
        <v>8</v>
      </c>
      <c r="E1556">
        <v>519293</v>
      </c>
      <c r="F1556">
        <v>4851640</v>
      </c>
      <c r="G1556">
        <v>10.7</v>
      </c>
    </row>
    <row r="1557" spans="1:7" x14ac:dyDescent="0.45">
      <c r="A1557" t="s">
        <v>7</v>
      </c>
      <c r="B1557">
        <v>2019</v>
      </c>
      <c r="C1557" s="1">
        <v>44177</v>
      </c>
      <c r="D1557" t="s">
        <v>23</v>
      </c>
      <c r="E1557">
        <v>27436</v>
      </c>
      <c r="F1557">
        <v>589481</v>
      </c>
      <c r="G1557">
        <v>4.6500000000000004</v>
      </c>
    </row>
    <row r="1558" spans="1:7" x14ac:dyDescent="0.45">
      <c r="A1558" t="s">
        <v>9</v>
      </c>
      <c r="B1558">
        <v>2019</v>
      </c>
      <c r="C1558" s="1">
        <v>44177</v>
      </c>
      <c r="D1558" t="s">
        <v>23</v>
      </c>
      <c r="E1558">
        <v>49695</v>
      </c>
      <c r="F1558">
        <v>2476087</v>
      </c>
      <c r="G1558">
        <v>2.0099999999999998</v>
      </c>
    </row>
    <row r="1559" spans="1:7" x14ac:dyDescent="0.45">
      <c r="A1559" t="s">
        <v>10</v>
      </c>
      <c r="B1559">
        <v>2019</v>
      </c>
      <c r="C1559" s="1">
        <v>44177</v>
      </c>
      <c r="D1559" t="s">
        <v>23</v>
      </c>
      <c r="E1559">
        <v>193126</v>
      </c>
      <c r="F1559">
        <v>4789291</v>
      </c>
      <c r="G1559">
        <v>4.03</v>
      </c>
    </row>
    <row r="1560" spans="1:7" x14ac:dyDescent="0.45">
      <c r="A1560" t="s">
        <v>11</v>
      </c>
      <c r="B1560">
        <v>2019</v>
      </c>
      <c r="C1560" s="1">
        <v>44177</v>
      </c>
      <c r="D1560" t="s">
        <v>23</v>
      </c>
      <c r="E1560">
        <v>171714</v>
      </c>
      <c r="F1560">
        <v>3019188</v>
      </c>
      <c r="G1560">
        <v>5.69</v>
      </c>
    </row>
    <row r="1561" spans="1:7" x14ac:dyDescent="0.45">
      <c r="A1561" t="s">
        <v>12</v>
      </c>
      <c r="B1561">
        <v>2019</v>
      </c>
      <c r="C1561" s="1">
        <v>44177</v>
      </c>
      <c r="D1561" t="s">
        <v>23</v>
      </c>
      <c r="E1561">
        <v>957826</v>
      </c>
      <c r="F1561">
        <v>18207522</v>
      </c>
      <c r="G1561">
        <v>5.26</v>
      </c>
    </row>
    <row r="1562" spans="1:7" x14ac:dyDescent="0.45">
      <c r="A1562" t="s">
        <v>13</v>
      </c>
      <c r="B1562">
        <v>2019</v>
      </c>
      <c r="C1562" s="1">
        <v>44177</v>
      </c>
      <c r="D1562" t="s">
        <v>23</v>
      </c>
      <c r="E1562">
        <v>551701</v>
      </c>
      <c r="F1562">
        <v>10512479</v>
      </c>
      <c r="G1562">
        <v>5.25</v>
      </c>
    </row>
    <row r="1563" spans="1:7" x14ac:dyDescent="0.45">
      <c r="A1563" t="s">
        <v>15</v>
      </c>
      <c r="B1563">
        <v>2019</v>
      </c>
      <c r="C1563" s="1">
        <v>44177</v>
      </c>
      <c r="D1563" t="s">
        <v>23</v>
      </c>
      <c r="E1563">
        <v>72609</v>
      </c>
      <c r="F1563">
        <v>3691561</v>
      </c>
      <c r="G1563">
        <v>1.97</v>
      </c>
    </row>
    <row r="1564" spans="1:7" x14ac:dyDescent="0.45">
      <c r="A1564" t="s">
        <v>16</v>
      </c>
      <c r="B1564">
        <v>2019</v>
      </c>
      <c r="C1564" s="1">
        <v>44177</v>
      </c>
      <c r="D1564" t="s">
        <v>23</v>
      </c>
      <c r="E1564">
        <v>141850</v>
      </c>
      <c r="F1564">
        <v>3799736</v>
      </c>
      <c r="G1564">
        <v>3.73</v>
      </c>
    </row>
    <row r="1565" spans="1:7" x14ac:dyDescent="0.45">
      <c r="A1565" t="s">
        <v>17</v>
      </c>
      <c r="B1565">
        <v>2019</v>
      </c>
      <c r="C1565" s="1">
        <v>44177</v>
      </c>
      <c r="D1565" t="s">
        <v>23</v>
      </c>
      <c r="E1565">
        <v>440438</v>
      </c>
      <c r="F1565">
        <v>5862386</v>
      </c>
      <c r="G1565">
        <v>7.51</v>
      </c>
    </row>
    <row r="1566" spans="1:7" x14ac:dyDescent="0.45">
      <c r="A1566" t="s">
        <v>18</v>
      </c>
      <c r="B1566">
        <v>2019</v>
      </c>
      <c r="C1566" s="1">
        <v>44177</v>
      </c>
      <c r="D1566" t="s">
        <v>23</v>
      </c>
      <c r="E1566">
        <v>174850</v>
      </c>
      <c r="F1566">
        <v>5077875</v>
      </c>
      <c r="G1566">
        <v>3.44</v>
      </c>
    </row>
    <row r="1567" spans="1:7" x14ac:dyDescent="0.45">
      <c r="A1567" t="s">
        <v>19</v>
      </c>
      <c r="B1567">
        <v>2019</v>
      </c>
      <c r="C1567" s="1">
        <v>44177</v>
      </c>
      <c r="D1567" t="s">
        <v>23</v>
      </c>
      <c r="E1567">
        <v>27278</v>
      </c>
      <c r="F1567">
        <v>617880</v>
      </c>
      <c r="G1567">
        <v>4.41</v>
      </c>
    </row>
    <row r="1568" spans="1:7" x14ac:dyDescent="0.45">
      <c r="A1568" t="s">
        <v>24</v>
      </c>
      <c r="B1568">
        <v>2019</v>
      </c>
      <c r="C1568" s="1">
        <v>44177</v>
      </c>
      <c r="D1568" t="s">
        <v>23</v>
      </c>
      <c r="E1568">
        <v>174740</v>
      </c>
      <c r="F1568">
        <v>3547474</v>
      </c>
      <c r="G1568">
        <v>4.93</v>
      </c>
    </row>
    <row r="1569" spans="1:7" x14ac:dyDescent="0.45">
      <c r="A1569" t="s">
        <v>20</v>
      </c>
      <c r="B1569">
        <v>2019</v>
      </c>
      <c r="C1569" s="1">
        <v>44177</v>
      </c>
      <c r="D1569" t="s">
        <v>23</v>
      </c>
      <c r="E1569">
        <v>703307</v>
      </c>
      <c r="F1569">
        <v>23257363</v>
      </c>
      <c r="G1569">
        <v>3.02</v>
      </c>
    </row>
    <row r="1570" spans="1:7" x14ac:dyDescent="0.45">
      <c r="A1570" t="s">
        <v>21</v>
      </c>
      <c r="B1570">
        <v>2019</v>
      </c>
      <c r="C1570" s="1">
        <v>44177</v>
      </c>
      <c r="D1570" t="s">
        <v>23</v>
      </c>
      <c r="E1570">
        <v>355691</v>
      </c>
      <c r="F1570">
        <v>7094962</v>
      </c>
      <c r="G1570">
        <v>5.01</v>
      </c>
    </row>
    <row r="1571" spans="1:7" x14ac:dyDescent="0.45">
      <c r="A1571" t="s">
        <v>22</v>
      </c>
      <c r="B1571">
        <v>2019</v>
      </c>
      <c r="C1571" s="1">
        <v>44177</v>
      </c>
      <c r="D1571" t="s">
        <v>23</v>
      </c>
      <c r="E1571">
        <v>160161</v>
      </c>
      <c r="F1571">
        <v>4851640</v>
      </c>
      <c r="G1571">
        <v>3.3</v>
      </c>
    </row>
    <row r="1572" spans="1:7" x14ac:dyDescent="0.45">
      <c r="A1572" t="s">
        <v>7</v>
      </c>
      <c r="B1572">
        <v>2019</v>
      </c>
      <c r="C1572" s="1">
        <v>44177</v>
      </c>
      <c r="D1572" t="s">
        <v>25</v>
      </c>
      <c r="E1572">
        <v>43548</v>
      </c>
      <c r="F1572">
        <v>589481</v>
      </c>
      <c r="G1572">
        <v>7.39</v>
      </c>
    </row>
    <row r="1573" spans="1:7" x14ac:dyDescent="0.45">
      <c r="A1573" t="s">
        <v>9</v>
      </c>
      <c r="B1573">
        <v>2019</v>
      </c>
      <c r="C1573" s="1">
        <v>44177</v>
      </c>
      <c r="D1573" t="s">
        <v>25</v>
      </c>
      <c r="E1573">
        <v>156961</v>
      </c>
      <c r="F1573">
        <v>2476087</v>
      </c>
      <c r="G1573">
        <v>6.34</v>
      </c>
    </row>
    <row r="1574" spans="1:7" x14ac:dyDescent="0.45">
      <c r="A1574" t="s">
        <v>10</v>
      </c>
      <c r="B1574">
        <v>2019</v>
      </c>
      <c r="C1574" s="1">
        <v>44177</v>
      </c>
      <c r="D1574" t="s">
        <v>25</v>
      </c>
      <c r="E1574">
        <v>427653</v>
      </c>
      <c r="F1574">
        <v>4789291</v>
      </c>
      <c r="G1574">
        <v>8.93</v>
      </c>
    </row>
    <row r="1575" spans="1:7" x14ac:dyDescent="0.45">
      <c r="A1575" t="s">
        <v>11</v>
      </c>
      <c r="B1575">
        <v>2019</v>
      </c>
      <c r="C1575" s="1">
        <v>44177</v>
      </c>
      <c r="D1575" t="s">
        <v>25</v>
      </c>
      <c r="E1575">
        <v>202486</v>
      </c>
      <c r="F1575">
        <v>3019188</v>
      </c>
      <c r="G1575">
        <v>6.71</v>
      </c>
    </row>
    <row r="1576" spans="1:7" x14ac:dyDescent="0.45">
      <c r="A1576" t="s">
        <v>12</v>
      </c>
      <c r="B1576">
        <v>2019</v>
      </c>
      <c r="C1576" s="1">
        <v>44177</v>
      </c>
      <c r="D1576" t="s">
        <v>25</v>
      </c>
      <c r="E1576">
        <v>1673678</v>
      </c>
      <c r="F1576">
        <v>18207522</v>
      </c>
      <c r="G1576">
        <v>9.19</v>
      </c>
    </row>
    <row r="1577" spans="1:7" x14ac:dyDescent="0.45">
      <c r="A1577" t="s">
        <v>13</v>
      </c>
      <c r="B1577">
        <v>2019</v>
      </c>
      <c r="C1577" s="1">
        <v>44177</v>
      </c>
      <c r="D1577" t="s">
        <v>25</v>
      </c>
      <c r="E1577">
        <v>952960</v>
      </c>
      <c r="F1577">
        <v>10512479</v>
      </c>
      <c r="G1577">
        <v>9.07</v>
      </c>
    </row>
    <row r="1578" spans="1:7" x14ac:dyDescent="0.45">
      <c r="A1578" t="s">
        <v>14</v>
      </c>
      <c r="B1578">
        <v>2019</v>
      </c>
      <c r="C1578" s="1">
        <v>44177</v>
      </c>
      <c r="D1578" t="s">
        <v>25</v>
      </c>
      <c r="E1578">
        <v>169854</v>
      </c>
      <c r="F1578">
        <v>2371396</v>
      </c>
      <c r="G1578">
        <v>7.16</v>
      </c>
    </row>
    <row r="1579" spans="1:7" x14ac:dyDescent="0.45">
      <c r="A1579" t="s">
        <v>15</v>
      </c>
      <c r="B1579">
        <v>2019</v>
      </c>
      <c r="C1579" s="1">
        <v>44177</v>
      </c>
      <c r="D1579" t="s">
        <v>25</v>
      </c>
      <c r="E1579">
        <v>259000</v>
      </c>
      <c r="F1579">
        <v>3691561</v>
      </c>
      <c r="G1579">
        <v>7.02</v>
      </c>
    </row>
    <row r="1580" spans="1:7" x14ac:dyDescent="0.45">
      <c r="A1580" t="s">
        <v>17</v>
      </c>
      <c r="B1580">
        <v>2019</v>
      </c>
      <c r="C1580" s="1">
        <v>44177</v>
      </c>
      <c r="D1580" t="s">
        <v>25</v>
      </c>
      <c r="E1580">
        <v>405733</v>
      </c>
      <c r="F1580">
        <v>5862386</v>
      </c>
      <c r="G1580">
        <v>6.92</v>
      </c>
    </row>
    <row r="1581" spans="1:7" x14ac:dyDescent="0.45">
      <c r="A1581" t="s">
        <v>18</v>
      </c>
      <c r="B1581">
        <v>2019</v>
      </c>
      <c r="C1581" s="1">
        <v>44177</v>
      </c>
      <c r="D1581" t="s">
        <v>25</v>
      </c>
      <c r="E1581">
        <v>429644</v>
      </c>
      <c r="F1581">
        <v>5077875</v>
      </c>
      <c r="G1581">
        <v>8.4600000000000009</v>
      </c>
    </row>
    <row r="1582" spans="1:7" x14ac:dyDescent="0.45">
      <c r="A1582" t="s">
        <v>19</v>
      </c>
      <c r="B1582">
        <v>2019</v>
      </c>
      <c r="C1582" s="1">
        <v>44177</v>
      </c>
      <c r="D1582" t="s">
        <v>25</v>
      </c>
      <c r="E1582">
        <v>71188</v>
      </c>
      <c r="F1582">
        <v>617880</v>
      </c>
      <c r="G1582">
        <v>11.52</v>
      </c>
    </row>
    <row r="1583" spans="1:7" x14ac:dyDescent="0.45">
      <c r="A1583" t="s">
        <v>24</v>
      </c>
      <c r="B1583">
        <v>2019</v>
      </c>
      <c r="C1583" s="1">
        <v>44177</v>
      </c>
      <c r="D1583" t="s">
        <v>25</v>
      </c>
      <c r="E1583">
        <v>307802</v>
      </c>
      <c r="F1583">
        <v>3547474</v>
      </c>
      <c r="G1583">
        <v>8.68</v>
      </c>
    </row>
    <row r="1584" spans="1:7" x14ac:dyDescent="0.45">
      <c r="A1584" t="s">
        <v>20</v>
      </c>
      <c r="B1584">
        <v>2019</v>
      </c>
      <c r="C1584" s="1">
        <v>44177</v>
      </c>
      <c r="D1584" t="s">
        <v>25</v>
      </c>
      <c r="E1584">
        <v>2192640</v>
      </c>
      <c r="F1584">
        <v>23257363</v>
      </c>
      <c r="G1584">
        <v>9.43</v>
      </c>
    </row>
    <row r="1585" spans="1:7" x14ac:dyDescent="0.45">
      <c r="A1585" t="s">
        <v>21</v>
      </c>
      <c r="B1585">
        <v>2019</v>
      </c>
      <c r="C1585" s="1">
        <v>44177</v>
      </c>
      <c r="D1585" t="s">
        <v>25</v>
      </c>
      <c r="E1585">
        <v>544450</v>
      </c>
      <c r="F1585">
        <v>7094962</v>
      </c>
      <c r="G1585">
        <v>7.67</v>
      </c>
    </row>
    <row r="1586" spans="1:7" x14ac:dyDescent="0.45">
      <c r="A1586" t="s">
        <v>7</v>
      </c>
      <c r="B1586">
        <v>2020</v>
      </c>
      <c r="C1586" s="1">
        <v>43831</v>
      </c>
      <c r="D1586" t="s">
        <v>8</v>
      </c>
      <c r="E1586">
        <v>50095</v>
      </c>
      <c r="F1586">
        <v>589481</v>
      </c>
      <c r="G1586">
        <v>8.5</v>
      </c>
    </row>
    <row r="1587" spans="1:7" x14ac:dyDescent="0.45">
      <c r="A1587" t="s">
        <v>9</v>
      </c>
      <c r="B1587">
        <v>2020</v>
      </c>
      <c r="C1587" s="1">
        <v>43831</v>
      </c>
      <c r="D1587" t="s">
        <v>8</v>
      </c>
      <c r="E1587">
        <v>133955</v>
      </c>
      <c r="F1587">
        <v>2476087</v>
      </c>
      <c r="G1587">
        <v>5.41</v>
      </c>
    </row>
    <row r="1588" spans="1:7" x14ac:dyDescent="0.45">
      <c r="A1588" t="s">
        <v>10</v>
      </c>
      <c r="B1588">
        <v>2020</v>
      </c>
      <c r="C1588" s="1">
        <v>43831</v>
      </c>
      <c r="D1588" t="s">
        <v>8</v>
      </c>
      <c r="E1588">
        <v>368544</v>
      </c>
      <c r="F1588">
        <v>4789291</v>
      </c>
      <c r="G1588">
        <v>7.7</v>
      </c>
    </row>
    <row r="1589" spans="1:7" x14ac:dyDescent="0.45">
      <c r="A1589" t="s">
        <v>11</v>
      </c>
      <c r="B1589">
        <v>2020</v>
      </c>
      <c r="C1589" s="1">
        <v>43831</v>
      </c>
      <c r="D1589" t="s">
        <v>8</v>
      </c>
      <c r="E1589">
        <v>269886</v>
      </c>
      <c r="F1589">
        <v>3019188</v>
      </c>
      <c r="G1589">
        <v>8.94</v>
      </c>
    </row>
    <row r="1590" spans="1:7" x14ac:dyDescent="0.45">
      <c r="A1590" t="s">
        <v>12</v>
      </c>
      <c r="B1590">
        <v>2020</v>
      </c>
      <c r="C1590" s="1">
        <v>43831</v>
      </c>
      <c r="D1590" t="s">
        <v>8</v>
      </c>
      <c r="E1590">
        <v>1423536</v>
      </c>
      <c r="F1590">
        <v>18207522</v>
      </c>
      <c r="G1590">
        <v>7.82</v>
      </c>
    </row>
    <row r="1591" spans="1:7" x14ac:dyDescent="0.45">
      <c r="A1591" t="s">
        <v>13</v>
      </c>
      <c r="B1591">
        <v>2020</v>
      </c>
      <c r="C1591" s="1">
        <v>43831</v>
      </c>
      <c r="D1591" t="s">
        <v>8</v>
      </c>
      <c r="E1591">
        <v>528950</v>
      </c>
      <c r="F1591">
        <v>10512479</v>
      </c>
      <c r="G1591">
        <v>5.03</v>
      </c>
    </row>
    <row r="1592" spans="1:7" x14ac:dyDescent="0.45">
      <c r="A1592" t="s">
        <v>14</v>
      </c>
      <c r="B1592">
        <v>2020</v>
      </c>
      <c r="C1592" s="1">
        <v>43831</v>
      </c>
      <c r="D1592" t="s">
        <v>8</v>
      </c>
      <c r="E1592">
        <v>147040</v>
      </c>
      <c r="F1592">
        <v>2371396</v>
      </c>
      <c r="G1592">
        <v>6.2</v>
      </c>
    </row>
    <row r="1593" spans="1:7" x14ac:dyDescent="0.45">
      <c r="A1593" t="s">
        <v>15</v>
      </c>
      <c r="B1593">
        <v>2020</v>
      </c>
      <c r="C1593" s="1">
        <v>43831</v>
      </c>
      <c r="D1593" t="s">
        <v>8</v>
      </c>
      <c r="E1593">
        <v>376194</v>
      </c>
      <c r="F1593">
        <v>3691561</v>
      </c>
      <c r="G1593">
        <v>10.19</v>
      </c>
    </row>
    <row r="1594" spans="1:7" x14ac:dyDescent="0.45">
      <c r="A1594" t="s">
        <v>16</v>
      </c>
      <c r="B1594">
        <v>2020</v>
      </c>
      <c r="C1594" s="1">
        <v>43831</v>
      </c>
      <c r="D1594" t="s">
        <v>8</v>
      </c>
      <c r="E1594">
        <v>306242</v>
      </c>
      <c r="F1594">
        <v>3799736</v>
      </c>
      <c r="G1594">
        <v>8.06</v>
      </c>
    </row>
    <row r="1595" spans="1:7" x14ac:dyDescent="0.45">
      <c r="A1595" t="s">
        <v>17</v>
      </c>
      <c r="B1595">
        <v>2020</v>
      </c>
      <c r="C1595" s="1">
        <v>43831</v>
      </c>
      <c r="D1595" t="s">
        <v>8</v>
      </c>
      <c r="E1595">
        <v>318704</v>
      </c>
      <c r="F1595">
        <v>5862386</v>
      </c>
      <c r="G1595">
        <v>5.44</v>
      </c>
    </row>
    <row r="1596" spans="1:7" x14ac:dyDescent="0.45">
      <c r="A1596" t="s">
        <v>18</v>
      </c>
      <c r="B1596">
        <v>2020</v>
      </c>
      <c r="C1596" s="1">
        <v>43831</v>
      </c>
      <c r="D1596" t="s">
        <v>8</v>
      </c>
      <c r="E1596">
        <v>339394</v>
      </c>
      <c r="F1596">
        <v>5077875</v>
      </c>
      <c r="G1596">
        <v>6.68</v>
      </c>
    </row>
    <row r="1597" spans="1:7" x14ac:dyDescent="0.45">
      <c r="A1597" t="s">
        <v>19</v>
      </c>
      <c r="B1597">
        <v>2020</v>
      </c>
      <c r="C1597" s="1">
        <v>43831</v>
      </c>
      <c r="D1597" t="s">
        <v>8</v>
      </c>
      <c r="E1597">
        <v>52687</v>
      </c>
      <c r="F1597">
        <v>617880</v>
      </c>
      <c r="G1597">
        <v>8.5299999999999994</v>
      </c>
    </row>
    <row r="1598" spans="1:7" x14ac:dyDescent="0.45">
      <c r="A1598" t="s">
        <v>20</v>
      </c>
      <c r="B1598">
        <v>2020</v>
      </c>
      <c r="C1598" s="1">
        <v>43831</v>
      </c>
      <c r="D1598" t="s">
        <v>8</v>
      </c>
      <c r="E1598">
        <v>1913050</v>
      </c>
      <c r="F1598">
        <v>23257363</v>
      </c>
      <c r="G1598">
        <v>8.23</v>
      </c>
    </row>
    <row r="1599" spans="1:7" x14ac:dyDescent="0.45">
      <c r="A1599" t="s">
        <v>21</v>
      </c>
      <c r="B1599">
        <v>2020</v>
      </c>
      <c r="C1599" s="1">
        <v>43831</v>
      </c>
      <c r="D1599" t="s">
        <v>8</v>
      </c>
      <c r="E1599">
        <v>378039</v>
      </c>
      <c r="F1599">
        <v>7094962</v>
      </c>
      <c r="G1599">
        <v>5.33</v>
      </c>
    </row>
    <row r="1600" spans="1:7" x14ac:dyDescent="0.45">
      <c r="A1600" t="s">
        <v>22</v>
      </c>
      <c r="B1600">
        <v>2020</v>
      </c>
      <c r="C1600" s="1">
        <v>43831</v>
      </c>
      <c r="D1600" t="s">
        <v>8</v>
      </c>
      <c r="E1600">
        <v>618717</v>
      </c>
      <c r="F1600">
        <v>4851640</v>
      </c>
      <c r="G1600">
        <v>12.75</v>
      </c>
    </row>
    <row r="1601" spans="1:7" x14ac:dyDescent="0.45">
      <c r="A1601" t="s">
        <v>7</v>
      </c>
      <c r="B1601">
        <v>2020</v>
      </c>
      <c r="C1601" s="1">
        <v>43831</v>
      </c>
      <c r="D1601" t="s">
        <v>23</v>
      </c>
      <c r="E1601">
        <v>18485</v>
      </c>
      <c r="F1601">
        <v>589481</v>
      </c>
      <c r="G1601">
        <v>3.14</v>
      </c>
    </row>
    <row r="1602" spans="1:7" x14ac:dyDescent="0.45">
      <c r="A1602" t="s">
        <v>9</v>
      </c>
      <c r="B1602">
        <v>2020</v>
      </c>
      <c r="C1602" s="1">
        <v>43831</v>
      </c>
      <c r="D1602" t="s">
        <v>23</v>
      </c>
      <c r="E1602">
        <v>55650</v>
      </c>
      <c r="F1602">
        <v>2476087</v>
      </c>
      <c r="G1602">
        <v>2.25</v>
      </c>
    </row>
    <row r="1603" spans="1:7" x14ac:dyDescent="0.45">
      <c r="A1603" t="s">
        <v>10</v>
      </c>
      <c r="B1603">
        <v>2020</v>
      </c>
      <c r="C1603" s="1">
        <v>43831</v>
      </c>
      <c r="D1603" t="s">
        <v>23</v>
      </c>
      <c r="E1603">
        <v>163095</v>
      </c>
      <c r="F1603">
        <v>4789291</v>
      </c>
      <c r="G1603">
        <v>3.41</v>
      </c>
    </row>
    <row r="1604" spans="1:7" x14ac:dyDescent="0.45">
      <c r="A1604" t="s">
        <v>11</v>
      </c>
      <c r="B1604">
        <v>2020</v>
      </c>
      <c r="C1604" s="1">
        <v>43831</v>
      </c>
      <c r="D1604" t="s">
        <v>23</v>
      </c>
      <c r="E1604">
        <v>171461</v>
      </c>
      <c r="F1604">
        <v>3019188</v>
      </c>
      <c r="G1604">
        <v>5.68</v>
      </c>
    </row>
    <row r="1605" spans="1:7" x14ac:dyDescent="0.45">
      <c r="A1605" t="s">
        <v>12</v>
      </c>
      <c r="B1605">
        <v>2020</v>
      </c>
      <c r="C1605" s="1">
        <v>43831</v>
      </c>
      <c r="D1605" t="s">
        <v>23</v>
      </c>
      <c r="E1605">
        <v>774290</v>
      </c>
      <c r="F1605">
        <v>18207522</v>
      </c>
      <c r="G1605">
        <v>4.25</v>
      </c>
    </row>
    <row r="1606" spans="1:7" x14ac:dyDescent="0.45">
      <c r="A1606" t="s">
        <v>13</v>
      </c>
      <c r="B1606">
        <v>2020</v>
      </c>
      <c r="C1606" s="1">
        <v>43831</v>
      </c>
      <c r="D1606" t="s">
        <v>23</v>
      </c>
      <c r="E1606">
        <v>303220</v>
      </c>
      <c r="F1606">
        <v>10512479</v>
      </c>
      <c r="G1606">
        <v>2.88</v>
      </c>
    </row>
    <row r="1607" spans="1:7" x14ac:dyDescent="0.45">
      <c r="A1607" t="s">
        <v>15</v>
      </c>
      <c r="B1607">
        <v>2020</v>
      </c>
      <c r="C1607" s="1">
        <v>43831</v>
      </c>
      <c r="D1607" t="s">
        <v>23</v>
      </c>
      <c r="E1607">
        <v>94482</v>
      </c>
      <c r="F1607">
        <v>3691561</v>
      </c>
      <c r="G1607">
        <v>2.56</v>
      </c>
    </row>
    <row r="1608" spans="1:7" x14ac:dyDescent="0.45">
      <c r="A1608" t="s">
        <v>16</v>
      </c>
      <c r="B1608">
        <v>2020</v>
      </c>
      <c r="C1608" s="1">
        <v>43831</v>
      </c>
      <c r="D1608" t="s">
        <v>23</v>
      </c>
      <c r="E1608">
        <v>101921</v>
      </c>
      <c r="F1608">
        <v>3799736</v>
      </c>
      <c r="G1608">
        <v>2.68</v>
      </c>
    </row>
    <row r="1609" spans="1:7" x14ac:dyDescent="0.45">
      <c r="A1609" t="s">
        <v>17</v>
      </c>
      <c r="B1609">
        <v>2020</v>
      </c>
      <c r="C1609" s="1">
        <v>43831</v>
      </c>
      <c r="D1609" t="s">
        <v>23</v>
      </c>
      <c r="E1609">
        <v>189921</v>
      </c>
      <c r="F1609">
        <v>5862386</v>
      </c>
      <c r="G1609">
        <v>3.24</v>
      </c>
    </row>
    <row r="1610" spans="1:7" x14ac:dyDescent="0.45">
      <c r="A1610" t="s">
        <v>18</v>
      </c>
      <c r="B1610">
        <v>2020</v>
      </c>
      <c r="C1610" s="1">
        <v>43831</v>
      </c>
      <c r="D1610" t="s">
        <v>23</v>
      </c>
      <c r="E1610">
        <v>162587</v>
      </c>
      <c r="F1610">
        <v>5077875</v>
      </c>
      <c r="G1610">
        <v>3.2</v>
      </c>
    </row>
    <row r="1611" spans="1:7" x14ac:dyDescent="0.45">
      <c r="A1611" t="s">
        <v>19</v>
      </c>
      <c r="B1611">
        <v>2020</v>
      </c>
      <c r="C1611" s="1">
        <v>43831</v>
      </c>
      <c r="D1611" t="s">
        <v>23</v>
      </c>
      <c r="E1611">
        <v>11672</v>
      </c>
      <c r="F1611">
        <v>617880</v>
      </c>
      <c r="G1611">
        <v>1.89</v>
      </c>
    </row>
    <row r="1612" spans="1:7" x14ac:dyDescent="0.45">
      <c r="A1612" t="s">
        <v>24</v>
      </c>
      <c r="B1612">
        <v>2020</v>
      </c>
      <c r="C1612" s="1">
        <v>43831</v>
      </c>
      <c r="D1612" t="s">
        <v>23</v>
      </c>
      <c r="E1612">
        <v>195733</v>
      </c>
      <c r="F1612">
        <v>3547474</v>
      </c>
      <c r="G1612">
        <v>5.52</v>
      </c>
    </row>
    <row r="1613" spans="1:7" x14ac:dyDescent="0.45">
      <c r="A1613" t="s">
        <v>20</v>
      </c>
      <c r="B1613">
        <v>2020</v>
      </c>
      <c r="C1613" s="1">
        <v>43831</v>
      </c>
      <c r="D1613" t="s">
        <v>23</v>
      </c>
      <c r="E1613">
        <v>815334</v>
      </c>
      <c r="F1613">
        <v>23257363</v>
      </c>
      <c r="G1613">
        <v>3.51</v>
      </c>
    </row>
    <row r="1614" spans="1:7" x14ac:dyDescent="0.45">
      <c r="A1614" t="s">
        <v>21</v>
      </c>
      <c r="B1614">
        <v>2020</v>
      </c>
      <c r="C1614" s="1">
        <v>43831</v>
      </c>
      <c r="D1614" t="s">
        <v>23</v>
      </c>
      <c r="E1614">
        <v>263006</v>
      </c>
      <c r="F1614">
        <v>7094962</v>
      </c>
      <c r="G1614">
        <v>3.71</v>
      </c>
    </row>
    <row r="1615" spans="1:7" x14ac:dyDescent="0.45">
      <c r="A1615" t="s">
        <v>22</v>
      </c>
      <c r="B1615">
        <v>2020</v>
      </c>
      <c r="C1615" s="1">
        <v>43831</v>
      </c>
      <c r="D1615" t="s">
        <v>23</v>
      </c>
      <c r="E1615">
        <v>167404</v>
      </c>
      <c r="F1615">
        <v>4851640</v>
      </c>
      <c r="G1615">
        <v>3.45</v>
      </c>
    </row>
    <row r="1616" spans="1:7" x14ac:dyDescent="0.45">
      <c r="A1616" t="s">
        <v>7</v>
      </c>
      <c r="B1616">
        <v>2020</v>
      </c>
      <c r="C1616" s="1">
        <v>43831</v>
      </c>
      <c r="D1616" t="s">
        <v>25</v>
      </c>
      <c r="E1616">
        <v>39292</v>
      </c>
      <c r="F1616">
        <v>589481</v>
      </c>
      <c r="G1616">
        <v>6.67</v>
      </c>
    </row>
    <row r="1617" spans="1:7" x14ac:dyDescent="0.45">
      <c r="A1617" t="s">
        <v>9</v>
      </c>
      <c r="B1617">
        <v>2020</v>
      </c>
      <c r="C1617" s="1">
        <v>43831</v>
      </c>
      <c r="D1617" t="s">
        <v>25</v>
      </c>
      <c r="E1617">
        <v>137573</v>
      </c>
      <c r="F1617">
        <v>2476087</v>
      </c>
      <c r="G1617">
        <v>5.56</v>
      </c>
    </row>
    <row r="1618" spans="1:7" x14ac:dyDescent="0.45">
      <c r="A1618" t="s">
        <v>10</v>
      </c>
      <c r="B1618">
        <v>2020</v>
      </c>
      <c r="C1618" s="1">
        <v>43831</v>
      </c>
      <c r="D1618" t="s">
        <v>25</v>
      </c>
      <c r="E1618">
        <v>401144</v>
      </c>
      <c r="F1618">
        <v>4789291</v>
      </c>
      <c r="G1618">
        <v>8.3800000000000008</v>
      </c>
    </row>
    <row r="1619" spans="1:7" x14ac:dyDescent="0.45">
      <c r="A1619" t="s">
        <v>11</v>
      </c>
      <c r="B1619">
        <v>2020</v>
      </c>
      <c r="C1619" s="1">
        <v>43831</v>
      </c>
      <c r="D1619" t="s">
        <v>25</v>
      </c>
      <c r="E1619">
        <v>193117</v>
      </c>
      <c r="F1619">
        <v>3019188</v>
      </c>
      <c r="G1619">
        <v>6.4</v>
      </c>
    </row>
    <row r="1620" spans="1:7" x14ac:dyDescent="0.45">
      <c r="A1620" t="s">
        <v>12</v>
      </c>
      <c r="B1620">
        <v>2020</v>
      </c>
      <c r="C1620" s="1">
        <v>43831</v>
      </c>
      <c r="D1620" t="s">
        <v>25</v>
      </c>
      <c r="E1620">
        <v>1541712</v>
      </c>
      <c r="F1620">
        <v>18207522</v>
      </c>
      <c r="G1620">
        <v>8.4700000000000006</v>
      </c>
    </row>
    <row r="1621" spans="1:7" x14ac:dyDescent="0.45">
      <c r="A1621" t="s">
        <v>13</v>
      </c>
      <c r="B1621">
        <v>2020</v>
      </c>
      <c r="C1621" s="1">
        <v>43831</v>
      </c>
      <c r="D1621" t="s">
        <v>25</v>
      </c>
      <c r="E1621">
        <v>778366</v>
      </c>
      <c r="F1621">
        <v>10512479</v>
      </c>
      <c r="G1621">
        <v>7.4</v>
      </c>
    </row>
    <row r="1622" spans="1:7" x14ac:dyDescent="0.45">
      <c r="A1622" t="s">
        <v>14</v>
      </c>
      <c r="B1622">
        <v>2020</v>
      </c>
      <c r="C1622" s="1">
        <v>43831</v>
      </c>
      <c r="D1622" t="s">
        <v>25</v>
      </c>
      <c r="E1622">
        <v>190078</v>
      </c>
      <c r="F1622">
        <v>2371396</v>
      </c>
      <c r="G1622">
        <v>8.02</v>
      </c>
    </row>
    <row r="1623" spans="1:7" x14ac:dyDescent="0.45">
      <c r="A1623" t="s">
        <v>15</v>
      </c>
      <c r="B1623">
        <v>2020</v>
      </c>
      <c r="C1623" s="1">
        <v>43831</v>
      </c>
      <c r="D1623" t="s">
        <v>25</v>
      </c>
      <c r="E1623">
        <v>246475</v>
      </c>
      <c r="F1623">
        <v>3691561</v>
      </c>
      <c r="G1623">
        <v>6.68</v>
      </c>
    </row>
    <row r="1624" spans="1:7" x14ac:dyDescent="0.45">
      <c r="A1624" t="s">
        <v>17</v>
      </c>
      <c r="B1624">
        <v>2020</v>
      </c>
      <c r="C1624" s="1">
        <v>43831</v>
      </c>
      <c r="D1624" t="s">
        <v>25</v>
      </c>
      <c r="E1624">
        <v>395278</v>
      </c>
      <c r="F1624">
        <v>5862386</v>
      </c>
      <c r="G1624">
        <v>6.74</v>
      </c>
    </row>
    <row r="1625" spans="1:7" x14ac:dyDescent="0.45">
      <c r="A1625" t="s">
        <v>18</v>
      </c>
      <c r="B1625">
        <v>2020</v>
      </c>
      <c r="C1625" s="1">
        <v>43831</v>
      </c>
      <c r="D1625" t="s">
        <v>25</v>
      </c>
      <c r="E1625">
        <v>376158</v>
      </c>
      <c r="F1625">
        <v>5077875</v>
      </c>
      <c r="G1625">
        <v>7.41</v>
      </c>
    </row>
    <row r="1626" spans="1:7" x14ac:dyDescent="0.45">
      <c r="A1626" t="s">
        <v>19</v>
      </c>
      <c r="B1626">
        <v>2020</v>
      </c>
      <c r="C1626" s="1">
        <v>43831</v>
      </c>
      <c r="D1626" t="s">
        <v>25</v>
      </c>
      <c r="E1626">
        <v>72234</v>
      </c>
      <c r="F1626">
        <v>617880</v>
      </c>
      <c r="G1626">
        <v>11.69</v>
      </c>
    </row>
    <row r="1627" spans="1:7" x14ac:dyDescent="0.45">
      <c r="A1627" t="s">
        <v>24</v>
      </c>
      <c r="B1627">
        <v>2020</v>
      </c>
      <c r="C1627" s="1">
        <v>43831</v>
      </c>
      <c r="D1627" t="s">
        <v>25</v>
      </c>
      <c r="E1627">
        <v>272988</v>
      </c>
      <c r="F1627">
        <v>3547474</v>
      </c>
      <c r="G1627">
        <v>7.7</v>
      </c>
    </row>
    <row r="1628" spans="1:7" x14ac:dyDescent="0.45">
      <c r="A1628" t="s">
        <v>20</v>
      </c>
      <c r="B1628">
        <v>2020</v>
      </c>
      <c r="C1628" s="1">
        <v>43831</v>
      </c>
      <c r="D1628" t="s">
        <v>25</v>
      </c>
      <c r="E1628">
        <v>2482631</v>
      </c>
      <c r="F1628">
        <v>23257363</v>
      </c>
      <c r="G1628">
        <v>10.67</v>
      </c>
    </row>
    <row r="1629" spans="1:7" x14ac:dyDescent="0.45">
      <c r="A1629" t="s">
        <v>21</v>
      </c>
      <c r="B1629">
        <v>2020</v>
      </c>
      <c r="C1629" s="1">
        <v>43831</v>
      </c>
      <c r="D1629" t="s">
        <v>25</v>
      </c>
      <c r="E1629">
        <v>493631</v>
      </c>
      <c r="F1629">
        <v>7094962</v>
      </c>
      <c r="G1629">
        <v>6.96</v>
      </c>
    </row>
    <row r="1630" spans="1:7" x14ac:dyDescent="0.45">
      <c r="A1630" t="s">
        <v>7</v>
      </c>
      <c r="B1630">
        <v>2020</v>
      </c>
      <c r="C1630" s="1">
        <v>43863</v>
      </c>
      <c r="D1630" t="s">
        <v>8</v>
      </c>
      <c r="E1630">
        <v>51290</v>
      </c>
      <c r="F1630">
        <v>589481</v>
      </c>
      <c r="G1630">
        <v>8.6999999999999993</v>
      </c>
    </row>
    <row r="1631" spans="1:7" x14ac:dyDescent="0.45">
      <c r="A1631" t="s">
        <v>9</v>
      </c>
      <c r="B1631">
        <v>2020</v>
      </c>
      <c r="C1631" s="1">
        <v>43863</v>
      </c>
      <c r="D1631" t="s">
        <v>8</v>
      </c>
      <c r="E1631">
        <v>123075</v>
      </c>
      <c r="F1631">
        <v>2476087</v>
      </c>
      <c r="G1631">
        <v>4.97</v>
      </c>
    </row>
    <row r="1632" spans="1:7" x14ac:dyDescent="0.45">
      <c r="A1632" t="s">
        <v>10</v>
      </c>
      <c r="B1632">
        <v>2020</v>
      </c>
      <c r="C1632" s="1">
        <v>43863</v>
      </c>
      <c r="D1632" t="s">
        <v>8</v>
      </c>
      <c r="E1632">
        <v>418275</v>
      </c>
      <c r="F1632">
        <v>4789291</v>
      </c>
      <c r="G1632">
        <v>8.73</v>
      </c>
    </row>
    <row r="1633" spans="1:7" x14ac:dyDescent="0.45">
      <c r="A1633" t="s">
        <v>11</v>
      </c>
      <c r="B1633">
        <v>2020</v>
      </c>
      <c r="C1633" s="1">
        <v>43863</v>
      </c>
      <c r="D1633" t="s">
        <v>8</v>
      </c>
      <c r="E1633">
        <v>255098</v>
      </c>
      <c r="F1633">
        <v>3019188</v>
      </c>
      <c r="G1633">
        <v>8.4499999999999993</v>
      </c>
    </row>
    <row r="1634" spans="1:7" x14ac:dyDescent="0.45">
      <c r="A1634" t="s">
        <v>12</v>
      </c>
      <c r="B1634">
        <v>2020</v>
      </c>
      <c r="C1634" s="1">
        <v>43863</v>
      </c>
      <c r="D1634" t="s">
        <v>8</v>
      </c>
      <c r="E1634">
        <v>1531115</v>
      </c>
      <c r="F1634">
        <v>18207522</v>
      </c>
      <c r="G1634">
        <v>8.41</v>
      </c>
    </row>
    <row r="1635" spans="1:7" x14ac:dyDescent="0.45">
      <c r="A1635" t="s">
        <v>13</v>
      </c>
      <c r="B1635">
        <v>2020</v>
      </c>
      <c r="C1635" s="1">
        <v>43863</v>
      </c>
      <c r="D1635" t="s">
        <v>8</v>
      </c>
      <c r="E1635">
        <v>654331</v>
      </c>
      <c r="F1635">
        <v>10512479</v>
      </c>
      <c r="G1635">
        <v>6.22</v>
      </c>
    </row>
    <row r="1636" spans="1:7" x14ac:dyDescent="0.45">
      <c r="A1636" t="s">
        <v>14</v>
      </c>
      <c r="B1636">
        <v>2020</v>
      </c>
      <c r="C1636" s="1">
        <v>43863</v>
      </c>
      <c r="D1636" t="s">
        <v>8</v>
      </c>
      <c r="E1636">
        <v>135840</v>
      </c>
      <c r="F1636">
        <v>2371396</v>
      </c>
      <c r="G1636">
        <v>5.73</v>
      </c>
    </row>
    <row r="1637" spans="1:7" x14ac:dyDescent="0.45">
      <c r="A1637" t="s">
        <v>15</v>
      </c>
      <c r="B1637">
        <v>2020</v>
      </c>
      <c r="C1637" s="1">
        <v>43863</v>
      </c>
      <c r="D1637" t="s">
        <v>8</v>
      </c>
      <c r="E1637">
        <v>198494</v>
      </c>
      <c r="F1637">
        <v>3691561</v>
      </c>
      <c r="G1637">
        <v>5.38</v>
      </c>
    </row>
    <row r="1638" spans="1:7" x14ac:dyDescent="0.45">
      <c r="A1638" t="s">
        <v>16</v>
      </c>
      <c r="B1638">
        <v>2020</v>
      </c>
      <c r="C1638" s="1">
        <v>43863</v>
      </c>
      <c r="D1638" t="s">
        <v>8</v>
      </c>
      <c r="E1638">
        <v>338789</v>
      </c>
      <c r="F1638">
        <v>3799736</v>
      </c>
      <c r="G1638">
        <v>8.92</v>
      </c>
    </row>
    <row r="1639" spans="1:7" x14ac:dyDescent="0.45">
      <c r="A1639" t="s">
        <v>17</v>
      </c>
      <c r="B1639">
        <v>2020</v>
      </c>
      <c r="C1639" s="1">
        <v>43863</v>
      </c>
      <c r="D1639" t="s">
        <v>8</v>
      </c>
      <c r="E1639">
        <v>379509</v>
      </c>
      <c r="F1639">
        <v>5862386</v>
      </c>
      <c r="G1639">
        <v>6.47</v>
      </c>
    </row>
    <row r="1640" spans="1:7" x14ac:dyDescent="0.45">
      <c r="A1640" t="s">
        <v>18</v>
      </c>
      <c r="B1640">
        <v>2020</v>
      </c>
      <c r="C1640" s="1">
        <v>43863</v>
      </c>
      <c r="D1640" t="s">
        <v>8</v>
      </c>
      <c r="E1640">
        <v>423234</v>
      </c>
      <c r="F1640">
        <v>5077875</v>
      </c>
      <c r="G1640">
        <v>8.33</v>
      </c>
    </row>
    <row r="1641" spans="1:7" x14ac:dyDescent="0.45">
      <c r="A1641" t="s">
        <v>19</v>
      </c>
      <c r="B1641">
        <v>2020</v>
      </c>
      <c r="C1641" s="1">
        <v>43863</v>
      </c>
      <c r="D1641" t="s">
        <v>8</v>
      </c>
      <c r="E1641">
        <v>60399</v>
      </c>
      <c r="F1641">
        <v>617880</v>
      </c>
      <c r="G1641">
        <v>9.7799999999999994</v>
      </c>
    </row>
    <row r="1642" spans="1:7" x14ac:dyDescent="0.45">
      <c r="A1642" t="s">
        <v>20</v>
      </c>
      <c r="B1642">
        <v>2020</v>
      </c>
      <c r="C1642" s="1">
        <v>43863</v>
      </c>
      <c r="D1642" t="s">
        <v>8</v>
      </c>
      <c r="E1642">
        <v>1364960</v>
      </c>
      <c r="F1642">
        <v>23257363</v>
      </c>
      <c r="G1642">
        <v>5.87</v>
      </c>
    </row>
    <row r="1643" spans="1:7" x14ac:dyDescent="0.45">
      <c r="A1643" t="s">
        <v>21</v>
      </c>
      <c r="B1643">
        <v>2020</v>
      </c>
      <c r="C1643" s="1">
        <v>43863</v>
      </c>
      <c r="D1643" t="s">
        <v>8</v>
      </c>
      <c r="E1643">
        <v>397254</v>
      </c>
      <c r="F1643">
        <v>7094962</v>
      </c>
      <c r="G1643">
        <v>5.6</v>
      </c>
    </row>
    <row r="1644" spans="1:7" x14ac:dyDescent="0.45">
      <c r="A1644" t="s">
        <v>22</v>
      </c>
      <c r="B1644">
        <v>2020</v>
      </c>
      <c r="C1644" s="1">
        <v>43863</v>
      </c>
      <c r="D1644" t="s">
        <v>8</v>
      </c>
      <c r="E1644">
        <v>444990</v>
      </c>
      <c r="F1644">
        <v>4851640</v>
      </c>
      <c r="G1644">
        <v>9.17</v>
      </c>
    </row>
    <row r="1645" spans="1:7" x14ac:dyDescent="0.45">
      <c r="A1645" t="s">
        <v>7</v>
      </c>
      <c r="B1645">
        <v>2020</v>
      </c>
      <c r="C1645" s="1">
        <v>43863</v>
      </c>
      <c r="D1645" t="s">
        <v>23</v>
      </c>
      <c r="E1645">
        <v>23657</v>
      </c>
      <c r="F1645">
        <v>589481</v>
      </c>
      <c r="G1645">
        <v>4.01</v>
      </c>
    </row>
    <row r="1646" spans="1:7" x14ac:dyDescent="0.45">
      <c r="A1646" t="s">
        <v>9</v>
      </c>
      <c r="B1646">
        <v>2020</v>
      </c>
      <c r="C1646" s="1">
        <v>43863</v>
      </c>
      <c r="D1646" t="s">
        <v>23</v>
      </c>
      <c r="E1646">
        <v>45352</v>
      </c>
      <c r="F1646">
        <v>2476087</v>
      </c>
      <c r="G1646">
        <v>1.83</v>
      </c>
    </row>
    <row r="1647" spans="1:7" x14ac:dyDescent="0.45">
      <c r="A1647" t="s">
        <v>10</v>
      </c>
      <c r="B1647">
        <v>2020</v>
      </c>
      <c r="C1647" s="1">
        <v>43863</v>
      </c>
      <c r="D1647" t="s">
        <v>23</v>
      </c>
      <c r="E1647">
        <v>185554</v>
      </c>
      <c r="F1647">
        <v>4789291</v>
      </c>
      <c r="G1647">
        <v>3.87</v>
      </c>
    </row>
    <row r="1648" spans="1:7" x14ac:dyDescent="0.45">
      <c r="A1648" t="s">
        <v>11</v>
      </c>
      <c r="B1648">
        <v>2020</v>
      </c>
      <c r="C1648" s="1">
        <v>43863</v>
      </c>
      <c r="D1648" t="s">
        <v>23</v>
      </c>
      <c r="E1648">
        <v>117996</v>
      </c>
      <c r="F1648">
        <v>3019188</v>
      </c>
      <c r="G1648">
        <v>3.91</v>
      </c>
    </row>
    <row r="1649" spans="1:7" x14ac:dyDescent="0.45">
      <c r="A1649" t="s">
        <v>12</v>
      </c>
      <c r="B1649">
        <v>2020</v>
      </c>
      <c r="C1649" s="1">
        <v>43863</v>
      </c>
      <c r="D1649" t="s">
        <v>23</v>
      </c>
      <c r="E1649">
        <v>898518</v>
      </c>
      <c r="F1649">
        <v>18207522</v>
      </c>
      <c r="G1649">
        <v>4.93</v>
      </c>
    </row>
    <row r="1650" spans="1:7" x14ac:dyDescent="0.45">
      <c r="A1650" t="s">
        <v>13</v>
      </c>
      <c r="B1650">
        <v>2020</v>
      </c>
      <c r="C1650" s="1">
        <v>43863</v>
      </c>
      <c r="D1650" t="s">
        <v>23</v>
      </c>
      <c r="E1650">
        <v>342189</v>
      </c>
      <c r="F1650">
        <v>10512479</v>
      </c>
      <c r="G1650">
        <v>3.26</v>
      </c>
    </row>
    <row r="1651" spans="1:7" x14ac:dyDescent="0.45">
      <c r="A1651" t="s">
        <v>15</v>
      </c>
      <c r="B1651">
        <v>2020</v>
      </c>
      <c r="C1651" s="1">
        <v>43863</v>
      </c>
      <c r="D1651" t="s">
        <v>23</v>
      </c>
      <c r="E1651">
        <v>49299</v>
      </c>
      <c r="F1651">
        <v>3691561</v>
      </c>
      <c r="G1651">
        <v>1.34</v>
      </c>
    </row>
    <row r="1652" spans="1:7" x14ac:dyDescent="0.45">
      <c r="A1652" t="s">
        <v>16</v>
      </c>
      <c r="B1652">
        <v>2020</v>
      </c>
      <c r="C1652" s="1">
        <v>43863</v>
      </c>
      <c r="D1652" t="s">
        <v>23</v>
      </c>
      <c r="E1652">
        <v>108200</v>
      </c>
      <c r="F1652">
        <v>3799736</v>
      </c>
      <c r="G1652">
        <v>2.85</v>
      </c>
    </row>
    <row r="1653" spans="1:7" x14ac:dyDescent="0.45">
      <c r="A1653" t="s">
        <v>17</v>
      </c>
      <c r="B1653">
        <v>2020</v>
      </c>
      <c r="C1653" s="1">
        <v>43863</v>
      </c>
      <c r="D1653" t="s">
        <v>23</v>
      </c>
      <c r="E1653">
        <v>238602</v>
      </c>
      <c r="F1653">
        <v>5862386</v>
      </c>
      <c r="G1653">
        <v>4.07</v>
      </c>
    </row>
    <row r="1654" spans="1:7" x14ac:dyDescent="0.45">
      <c r="A1654" t="s">
        <v>18</v>
      </c>
      <c r="B1654">
        <v>2020</v>
      </c>
      <c r="C1654" s="1">
        <v>43863</v>
      </c>
      <c r="D1654" t="s">
        <v>23</v>
      </c>
      <c r="E1654">
        <v>135429</v>
      </c>
      <c r="F1654">
        <v>5077875</v>
      </c>
      <c r="G1654">
        <v>2.67</v>
      </c>
    </row>
    <row r="1655" spans="1:7" x14ac:dyDescent="0.45">
      <c r="A1655" t="s">
        <v>19</v>
      </c>
      <c r="B1655">
        <v>2020</v>
      </c>
      <c r="C1655" s="1">
        <v>43863</v>
      </c>
      <c r="D1655" t="s">
        <v>23</v>
      </c>
      <c r="E1655">
        <v>12508</v>
      </c>
      <c r="F1655">
        <v>617880</v>
      </c>
      <c r="G1655">
        <v>2.02</v>
      </c>
    </row>
    <row r="1656" spans="1:7" x14ac:dyDescent="0.45">
      <c r="A1656" t="s">
        <v>24</v>
      </c>
      <c r="B1656">
        <v>2020</v>
      </c>
      <c r="C1656" s="1">
        <v>43863</v>
      </c>
      <c r="D1656" t="s">
        <v>23</v>
      </c>
      <c r="E1656">
        <v>160589</v>
      </c>
      <c r="F1656">
        <v>3547474</v>
      </c>
      <c r="G1656">
        <v>4.53</v>
      </c>
    </row>
    <row r="1657" spans="1:7" x14ac:dyDescent="0.45">
      <c r="A1657" t="s">
        <v>20</v>
      </c>
      <c r="B1657">
        <v>2020</v>
      </c>
      <c r="C1657" s="1">
        <v>43863</v>
      </c>
      <c r="D1657" t="s">
        <v>23</v>
      </c>
      <c r="E1657">
        <v>593730</v>
      </c>
      <c r="F1657">
        <v>23257363</v>
      </c>
      <c r="G1657">
        <v>2.5499999999999998</v>
      </c>
    </row>
    <row r="1658" spans="1:7" x14ac:dyDescent="0.45">
      <c r="A1658" t="s">
        <v>21</v>
      </c>
      <c r="B1658">
        <v>2020</v>
      </c>
      <c r="C1658" s="1">
        <v>43863</v>
      </c>
      <c r="D1658" t="s">
        <v>23</v>
      </c>
      <c r="E1658">
        <v>258238</v>
      </c>
      <c r="F1658">
        <v>7094962</v>
      </c>
      <c r="G1658">
        <v>3.64</v>
      </c>
    </row>
    <row r="1659" spans="1:7" x14ac:dyDescent="0.45">
      <c r="A1659" t="s">
        <v>22</v>
      </c>
      <c r="B1659">
        <v>2020</v>
      </c>
      <c r="C1659" s="1">
        <v>43863</v>
      </c>
      <c r="D1659" t="s">
        <v>23</v>
      </c>
      <c r="E1659">
        <v>131102</v>
      </c>
      <c r="F1659">
        <v>4851640</v>
      </c>
      <c r="G1659">
        <v>2.7</v>
      </c>
    </row>
    <row r="1660" spans="1:7" x14ac:dyDescent="0.45">
      <c r="A1660" t="s">
        <v>7</v>
      </c>
      <c r="B1660">
        <v>2020</v>
      </c>
      <c r="C1660" s="1">
        <v>43863</v>
      </c>
      <c r="D1660" t="s">
        <v>25</v>
      </c>
      <c r="E1660">
        <v>36320</v>
      </c>
      <c r="F1660">
        <v>589481</v>
      </c>
      <c r="G1660">
        <v>6.16</v>
      </c>
    </row>
    <row r="1661" spans="1:7" x14ac:dyDescent="0.45">
      <c r="A1661" t="s">
        <v>9</v>
      </c>
      <c r="B1661">
        <v>2020</v>
      </c>
      <c r="C1661" s="1">
        <v>43863</v>
      </c>
      <c r="D1661" t="s">
        <v>25</v>
      </c>
      <c r="E1661">
        <v>154463</v>
      </c>
      <c r="F1661">
        <v>2476087</v>
      </c>
      <c r="G1661">
        <v>6.24</v>
      </c>
    </row>
    <row r="1662" spans="1:7" x14ac:dyDescent="0.45">
      <c r="A1662" t="s">
        <v>10</v>
      </c>
      <c r="B1662">
        <v>2020</v>
      </c>
      <c r="C1662" s="1">
        <v>43863</v>
      </c>
      <c r="D1662" t="s">
        <v>25</v>
      </c>
      <c r="E1662">
        <v>352940</v>
      </c>
      <c r="F1662">
        <v>4789291</v>
      </c>
      <c r="G1662">
        <v>7.37</v>
      </c>
    </row>
    <row r="1663" spans="1:7" x14ac:dyDescent="0.45">
      <c r="A1663" t="s">
        <v>11</v>
      </c>
      <c r="B1663">
        <v>2020</v>
      </c>
      <c r="C1663" s="1">
        <v>43863</v>
      </c>
      <c r="D1663" t="s">
        <v>25</v>
      </c>
      <c r="E1663">
        <v>148211</v>
      </c>
      <c r="F1663">
        <v>3019188</v>
      </c>
      <c r="G1663">
        <v>4.91</v>
      </c>
    </row>
    <row r="1664" spans="1:7" x14ac:dyDescent="0.45">
      <c r="A1664" t="s">
        <v>12</v>
      </c>
      <c r="B1664">
        <v>2020</v>
      </c>
      <c r="C1664" s="1">
        <v>43863</v>
      </c>
      <c r="D1664" t="s">
        <v>25</v>
      </c>
      <c r="E1664">
        <v>1397338</v>
      </c>
      <c r="F1664">
        <v>18207522</v>
      </c>
      <c r="G1664">
        <v>7.67</v>
      </c>
    </row>
    <row r="1665" spans="1:7" x14ac:dyDescent="0.45">
      <c r="A1665" t="s">
        <v>13</v>
      </c>
      <c r="B1665">
        <v>2020</v>
      </c>
      <c r="C1665" s="1">
        <v>43863</v>
      </c>
      <c r="D1665" t="s">
        <v>25</v>
      </c>
      <c r="E1665">
        <v>653075</v>
      </c>
      <c r="F1665">
        <v>10512479</v>
      </c>
      <c r="G1665">
        <v>6.21</v>
      </c>
    </row>
    <row r="1666" spans="1:7" x14ac:dyDescent="0.45">
      <c r="A1666" t="s">
        <v>14</v>
      </c>
      <c r="B1666">
        <v>2020</v>
      </c>
      <c r="C1666" s="1">
        <v>43863</v>
      </c>
      <c r="D1666" t="s">
        <v>25</v>
      </c>
      <c r="E1666">
        <v>206563</v>
      </c>
      <c r="F1666">
        <v>2371396</v>
      </c>
      <c r="G1666">
        <v>8.7100000000000009</v>
      </c>
    </row>
    <row r="1667" spans="1:7" x14ac:dyDescent="0.45">
      <c r="A1667" t="s">
        <v>15</v>
      </c>
      <c r="B1667">
        <v>2020</v>
      </c>
      <c r="C1667" s="1">
        <v>43863</v>
      </c>
      <c r="D1667" t="s">
        <v>25</v>
      </c>
      <c r="E1667">
        <v>253701</v>
      </c>
      <c r="F1667">
        <v>3691561</v>
      </c>
      <c r="G1667">
        <v>6.87</v>
      </c>
    </row>
    <row r="1668" spans="1:7" x14ac:dyDescent="0.45">
      <c r="A1668" t="s">
        <v>17</v>
      </c>
      <c r="B1668">
        <v>2020</v>
      </c>
      <c r="C1668" s="1">
        <v>43863</v>
      </c>
      <c r="D1668" t="s">
        <v>25</v>
      </c>
      <c r="E1668">
        <v>360084</v>
      </c>
      <c r="F1668">
        <v>5862386</v>
      </c>
      <c r="G1668">
        <v>6.14</v>
      </c>
    </row>
    <row r="1669" spans="1:7" x14ac:dyDescent="0.45">
      <c r="A1669" t="s">
        <v>18</v>
      </c>
      <c r="B1669">
        <v>2020</v>
      </c>
      <c r="C1669" s="1">
        <v>43863</v>
      </c>
      <c r="D1669" t="s">
        <v>25</v>
      </c>
      <c r="E1669">
        <v>391154</v>
      </c>
      <c r="F1669">
        <v>5077875</v>
      </c>
      <c r="G1669">
        <v>7.7</v>
      </c>
    </row>
    <row r="1670" spans="1:7" x14ac:dyDescent="0.45">
      <c r="A1670" t="s">
        <v>19</v>
      </c>
      <c r="B1670">
        <v>2020</v>
      </c>
      <c r="C1670" s="1">
        <v>43863</v>
      </c>
      <c r="D1670" t="s">
        <v>25</v>
      </c>
      <c r="E1670">
        <v>63119</v>
      </c>
      <c r="F1670">
        <v>617880</v>
      </c>
      <c r="G1670">
        <v>10.220000000000001</v>
      </c>
    </row>
    <row r="1671" spans="1:7" x14ac:dyDescent="0.45">
      <c r="A1671" t="s">
        <v>24</v>
      </c>
      <c r="B1671">
        <v>2020</v>
      </c>
      <c r="C1671" s="1">
        <v>43863</v>
      </c>
      <c r="D1671" t="s">
        <v>25</v>
      </c>
      <c r="E1671">
        <v>307897</v>
      </c>
      <c r="F1671">
        <v>3547474</v>
      </c>
      <c r="G1671">
        <v>8.68</v>
      </c>
    </row>
    <row r="1672" spans="1:7" x14ac:dyDescent="0.45">
      <c r="A1672" t="s">
        <v>20</v>
      </c>
      <c r="B1672">
        <v>2020</v>
      </c>
      <c r="C1672" s="1">
        <v>43863</v>
      </c>
      <c r="D1672" t="s">
        <v>25</v>
      </c>
      <c r="E1672">
        <v>2024152</v>
      </c>
      <c r="F1672">
        <v>23257363</v>
      </c>
      <c r="G1672">
        <v>8.6999999999999993</v>
      </c>
    </row>
    <row r="1673" spans="1:7" x14ac:dyDescent="0.45">
      <c r="A1673" t="s">
        <v>21</v>
      </c>
      <c r="B1673">
        <v>2020</v>
      </c>
      <c r="C1673" s="1">
        <v>43863</v>
      </c>
      <c r="D1673" t="s">
        <v>25</v>
      </c>
      <c r="E1673">
        <v>424059</v>
      </c>
      <c r="F1673">
        <v>7094962</v>
      </c>
      <c r="G1673">
        <v>5.98</v>
      </c>
    </row>
    <row r="1674" spans="1:7" x14ac:dyDescent="0.45">
      <c r="A1674" t="s">
        <v>7</v>
      </c>
      <c r="B1674">
        <v>2020</v>
      </c>
      <c r="C1674" s="1">
        <v>43893</v>
      </c>
      <c r="D1674" t="s">
        <v>8</v>
      </c>
      <c r="E1674">
        <v>73276</v>
      </c>
      <c r="F1674">
        <v>589481</v>
      </c>
      <c r="G1674">
        <v>12.43</v>
      </c>
    </row>
    <row r="1675" spans="1:7" x14ac:dyDescent="0.45">
      <c r="A1675" t="s">
        <v>9</v>
      </c>
      <c r="B1675">
        <v>2020</v>
      </c>
      <c r="C1675" s="1">
        <v>43893</v>
      </c>
      <c r="D1675" t="s">
        <v>8</v>
      </c>
      <c r="E1675">
        <v>130426</v>
      </c>
      <c r="F1675">
        <v>2476087</v>
      </c>
      <c r="G1675">
        <v>5.27</v>
      </c>
    </row>
    <row r="1676" spans="1:7" x14ac:dyDescent="0.45">
      <c r="A1676" t="s">
        <v>10</v>
      </c>
      <c r="B1676">
        <v>2020</v>
      </c>
      <c r="C1676" s="1">
        <v>43893</v>
      </c>
      <c r="D1676" t="s">
        <v>8</v>
      </c>
      <c r="E1676">
        <v>563111</v>
      </c>
      <c r="F1676">
        <v>4789291</v>
      </c>
      <c r="G1676">
        <v>11.76</v>
      </c>
    </row>
    <row r="1677" spans="1:7" x14ac:dyDescent="0.45">
      <c r="A1677" t="s">
        <v>11</v>
      </c>
      <c r="B1677">
        <v>2020</v>
      </c>
      <c r="C1677" s="1">
        <v>43893</v>
      </c>
      <c r="D1677" t="s">
        <v>8</v>
      </c>
      <c r="E1677">
        <v>259184</v>
      </c>
      <c r="F1677">
        <v>3019188</v>
      </c>
      <c r="G1677">
        <v>8.58</v>
      </c>
    </row>
    <row r="1678" spans="1:7" x14ac:dyDescent="0.45">
      <c r="A1678" t="s">
        <v>12</v>
      </c>
      <c r="B1678">
        <v>2020</v>
      </c>
      <c r="C1678" s="1">
        <v>43893</v>
      </c>
      <c r="D1678" t="s">
        <v>8</v>
      </c>
      <c r="E1678">
        <v>2146372</v>
      </c>
      <c r="F1678">
        <v>18207522</v>
      </c>
      <c r="G1678">
        <v>11.79</v>
      </c>
    </row>
    <row r="1679" spans="1:7" x14ac:dyDescent="0.45">
      <c r="A1679" t="s">
        <v>13</v>
      </c>
      <c r="B1679">
        <v>2020</v>
      </c>
      <c r="C1679" s="1">
        <v>43893</v>
      </c>
      <c r="D1679" t="s">
        <v>8</v>
      </c>
      <c r="E1679">
        <v>755154</v>
      </c>
      <c r="F1679">
        <v>10512479</v>
      </c>
      <c r="G1679">
        <v>7.18</v>
      </c>
    </row>
    <row r="1680" spans="1:7" x14ac:dyDescent="0.45">
      <c r="A1680" t="s">
        <v>14</v>
      </c>
      <c r="B1680">
        <v>2020</v>
      </c>
      <c r="C1680" s="1">
        <v>43893</v>
      </c>
      <c r="D1680" t="s">
        <v>8</v>
      </c>
      <c r="E1680">
        <v>172643</v>
      </c>
      <c r="F1680">
        <v>2371396</v>
      </c>
      <c r="G1680">
        <v>7.28</v>
      </c>
    </row>
    <row r="1681" spans="1:7" x14ac:dyDescent="0.45">
      <c r="A1681" t="s">
        <v>15</v>
      </c>
      <c r="B1681">
        <v>2020</v>
      </c>
      <c r="C1681" s="1">
        <v>43893</v>
      </c>
      <c r="D1681" t="s">
        <v>8</v>
      </c>
      <c r="E1681">
        <v>231610</v>
      </c>
      <c r="F1681">
        <v>3691561</v>
      </c>
      <c r="G1681">
        <v>6.27</v>
      </c>
    </row>
    <row r="1682" spans="1:7" x14ac:dyDescent="0.45">
      <c r="A1682" t="s">
        <v>16</v>
      </c>
      <c r="B1682">
        <v>2020</v>
      </c>
      <c r="C1682" s="1">
        <v>43893</v>
      </c>
      <c r="D1682" t="s">
        <v>8</v>
      </c>
      <c r="E1682">
        <v>329317</v>
      </c>
      <c r="F1682">
        <v>3799736</v>
      </c>
      <c r="G1682">
        <v>8.67</v>
      </c>
    </row>
    <row r="1683" spans="1:7" x14ac:dyDescent="0.45">
      <c r="A1683" t="s">
        <v>17</v>
      </c>
      <c r="B1683">
        <v>2020</v>
      </c>
      <c r="C1683" s="1">
        <v>43893</v>
      </c>
      <c r="D1683" t="s">
        <v>8</v>
      </c>
      <c r="E1683">
        <v>506475</v>
      </c>
      <c r="F1683">
        <v>5862386</v>
      </c>
      <c r="G1683">
        <v>8.64</v>
      </c>
    </row>
    <row r="1684" spans="1:7" x14ac:dyDescent="0.45">
      <c r="A1684" t="s">
        <v>18</v>
      </c>
      <c r="B1684">
        <v>2020</v>
      </c>
      <c r="C1684" s="1">
        <v>43893</v>
      </c>
      <c r="D1684" t="s">
        <v>8</v>
      </c>
      <c r="E1684">
        <v>530916</v>
      </c>
      <c r="F1684">
        <v>5077875</v>
      </c>
      <c r="G1684">
        <v>10.46</v>
      </c>
    </row>
    <row r="1685" spans="1:7" x14ac:dyDescent="0.45">
      <c r="A1685" t="s">
        <v>19</v>
      </c>
      <c r="B1685">
        <v>2020</v>
      </c>
      <c r="C1685" s="1">
        <v>43893</v>
      </c>
      <c r="D1685" t="s">
        <v>8</v>
      </c>
      <c r="E1685">
        <v>83385</v>
      </c>
      <c r="F1685">
        <v>617880</v>
      </c>
      <c r="G1685">
        <v>13.5</v>
      </c>
    </row>
    <row r="1686" spans="1:7" x14ac:dyDescent="0.45">
      <c r="A1686" t="s">
        <v>20</v>
      </c>
      <c r="B1686">
        <v>2020</v>
      </c>
      <c r="C1686" s="1">
        <v>43893</v>
      </c>
      <c r="D1686" t="s">
        <v>8</v>
      </c>
      <c r="E1686">
        <v>1288178</v>
      </c>
      <c r="F1686">
        <v>23257363</v>
      </c>
      <c r="G1686">
        <v>5.54</v>
      </c>
    </row>
    <row r="1687" spans="1:7" x14ac:dyDescent="0.45">
      <c r="A1687" t="s">
        <v>21</v>
      </c>
      <c r="B1687">
        <v>2020</v>
      </c>
      <c r="C1687" s="1">
        <v>43893</v>
      </c>
      <c r="D1687" t="s">
        <v>8</v>
      </c>
      <c r="E1687">
        <v>496560</v>
      </c>
      <c r="F1687">
        <v>7094962</v>
      </c>
      <c r="G1687">
        <v>7</v>
      </c>
    </row>
    <row r="1688" spans="1:7" x14ac:dyDescent="0.45">
      <c r="A1688" t="s">
        <v>22</v>
      </c>
      <c r="B1688">
        <v>2020</v>
      </c>
      <c r="C1688" s="1">
        <v>43893</v>
      </c>
      <c r="D1688" t="s">
        <v>8</v>
      </c>
      <c r="E1688">
        <v>398608</v>
      </c>
      <c r="F1688">
        <v>4851640</v>
      </c>
      <c r="G1688">
        <v>8.2200000000000006</v>
      </c>
    </row>
    <row r="1689" spans="1:7" x14ac:dyDescent="0.45">
      <c r="A1689" t="s">
        <v>7</v>
      </c>
      <c r="B1689">
        <v>2020</v>
      </c>
      <c r="C1689" s="1">
        <v>43893</v>
      </c>
      <c r="D1689" t="s">
        <v>23</v>
      </c>
      <c r="E1689">
        <v>26087</v>
      </c>
      <c r="F1689">
        <v>589481</v>
      </c>
      <c r="G1689">
        <v>4.43</v>
      </c>
    </row>
    <row r="1690" spans="1:7" x14ac:dyDescent="0.45">
      <c r="A1690" t="s">
        <v>9</v>
      </c>
      <c r="B1690">
        <v>2020</v>
      </c>
      <c r="C1690" s="1">
        <v>43893</v>
      </c>
      <c r="D1690" t="s">
        <v>23</v>
      </c>
      <c r="E1690">
        <v>43576</v>
      </c>
      <c r="F1690">
        <v>2476087</v>
      </c>
      <c r="G1690">
        <v>1.76</v>
      </c>
    </row>
    <row r="1691" spans="1:7" x14ac:dyDescent="0.45">
      <c r="A1691" t="s">
        <v>10</v>
      </c>
      <c r="B1691">
        <v>2020</v>
      </c>
      <c r="C1691" s="1">
        <v>43893</v>
      </c>
      <c r="D1691" t="s">
        <v>23</v>
      </c>
      <c r="E1691">
        <v>222628</v>
      </c>
      <c r="F1691">
        <v>4789291</v>
      </c>
      <c r="G1691">
        <v>4.6500000000000004</v>
      </c>
    </row>
    <row r="1692" spans="1:7" x14ac:dyDescent="0.45">
      <c r="A1692" t="s">
        <v>11</v>
      </c>
      <c r="B1692">
        <v>2020</v>
      </c>
      <c r="C1692" s="1">
        <v>43893</v>
      </c>
      <c r="D1692" t="s">
        <v>23</v>
      </c>
      <c r="E1692">
        <v>162915</v>
      </c>
      <c r="F1692">
        <v>3019188</v>
      </c>
      <c r="G1692">
        <v>5.4</v>
      </c>
    </row>
    <row r="1693" spans="1:7" x14ac:dyDescent="0.45">
      <c r="A1693" t="s">
        <v>12</v>
      </c>
      <c r="B1693">
        <v>2020</v>
      </c>
      <c r="C1693" s="1">
        <v>43893</v>
      </c>
      <c r="D1693" t="s">
        <v>23</v>
      </c>
      <c r="E1693">
        <v>938888</v>
      </c>
      <c r="F1693">
        <v>18207522</v>
      </c>
      <c r="G1693">
        <v>5.16</v>
      </c>
    </row>
    <row r="1694" spans="1:7" x14ac:dyDescent="0.45">
      <c r="A1694" t="s">
        <v>13</v>
      </c>
      <c r="B1694">
        <v>2020</v>
      </c>
      <c r="C1694" s="1">
        <v>43893</v>
      </c>
      <c r="D1694" t="s">
        <v>23</v>
      </c>
      <c r="E1694">
        <v>408585</v>
      </c>
      <c r="F1694">
        <v>10512479</v>
      </c>
      <c r="G1694">
        <v>3.89</v>
      </c>
    </row>
    <row r="1695" spans="1:7" x14ac:dyDescent="0.45">
      <c r="A1695" t="s">
        <v>15</v>
      </c>
      <c r="B1695">
        <v>2020</v>
      </c>
      <c r="C1695" s="1">
        <v>43893</v>
      </c>
      <c r="D1695" t="s">
        <v>23</v>
      </c>
      <c r="E1695">
        <v>66694</v>
      </c>
      <c r="F1695">
        <v>3691561</v>
      </c>
      <c r="G1695">
        <v>1.81</v>
      </c>
    </row>
    <row r="1696" spans="1:7" x14ac:dyDescent="0.45">
      <c r="A1696" t="s">
        <v>16</v>
      </c>
      <c r="B1696">
        <v>2020</v>
      </c>
      <c r="C1696" s="1">
        <v>43893</v>
      </c>
      <c r="D1696" t="s">
        <v>23</v>
      </c>
      <c r="E1696">
        <v>113658</v>
      </c>
      <c r="F1696">
        <v>3799736</v>
      </c>
      <c r="G1696">
        <v>2.99</v>
      </c>
    </row>
    <row r="1697" spans="1:7" x14ac:dyDescent="0.45">
      <c r="A1697" t="s">
        <v>17</v>
      </c>
      <c r="B1697">
        <v>2020</v>
      </c>
      <c r="C1697" s="1">
        <v>43893</v>
      </c>
      <c r="D1697" t="s">
        <v>23</v>
      </c>
      <c r="E1697">
        <v>302288</v>
      </c>
      <c r="F1697">
        <v>5862386</v>
      </c>
      <c r="G1697">
        <v>5.16</v>
      </c>
    </row>
    <row r="1698" spans="1:7" x14ac:dyDescent="0.45">
      <c r="A1698" t="s">
        <v>18</v>
      </c>
      <c r="B1698">
        <v>2020</v>
      </c>
      <c r="C1698" s="1">
        <v>43893</v>
      </c>
      <c r="D1698" t="s">
        <v>23</v>
      </c>
      <c r="E1698">
        <v>160152</v>
      </c>
      <c r="F1698">
        <v>5077875</v>
      </c>
      <c r="G1698">
        <v>3.15</v>
      </c>
    </row>
    <row r="1699" spans="1:7" x14ac:dyDescent="0.45">
      <c r="A1699" t="s">
        <v>19</v>
      </c>
      <c r="B1699">
        <v>2020</v>
      </c>
      <c r="C1699" s="1">
        <v>43893</v>
      </c>
      <c r="D1699" t="s">
        <v>23</v>
      </c>
      <c r="E1699">
        <v>17478</v>
      </c>
      <c r="F1699">
        <v>617880</v>
      </c>
      <c r="G1699">
        <v>2.83</v>
      </c>
    </row>
    <row r="1700" spans="1:7" x14ac:dyDescent="0.45">
      <c r="A1700" t="s">
        <v>24</v>
      </c>
      <c r="B1700">
        <v>2020</v>
      </c>
      <c r="C1700" s="1">
        <v>43893</v>
      </c>
      <c r="D1700" t="s">
        <v>23</v>
      </c>
      <c r="E1700">
        <v>122928</v>
      </c>
      <c r="F1700">
        <v>3547474</v>
      </c>
      <c r="G1700">
        <v>3.47</v>
      </c>
    </row>
    <row r="1701" spans="1:7" x14ac:dyDescent="0.45">
      <c r="A1701" t="s">
        <v>20</v>
      </c>
      <c r="B1701">
        <v>2020</v>
      </c>
      <c r="C1701" s="1">
        <v>43893</v>
      </c>
      <c r="D1701" t="s">
        <v>23</v>
      </c>
      <c r="E1701">
        <v>602944</v>
      </c>
      <c r="F1701">
        <v>23257363</v>
      </c>
      <c r="G1701">
        <v>2.59</v>
      </c>
    </row>
    <row r="1702" spans="1:7" x14ac:dyDescent="0.45">
      <c r="A1702" t="s">
        <v>21</v>
      </c>
      <c r="B1702">
        <v>2020</v>
      </c>
      <c r="C1702" s="1">
        <v>43893</v>
      </c>
      <c r="D1702" t="s">
        <v>23</v>
      </c>
      <c r="E1702">
        <v>321274</v>
      </c>
      <c r="F1702">
        <v>7094962</v>
      </c>
      <c r="G1702">
        <v>4.53</v>
      </c>
    </row>
    <row r="1703" spans="1:7" x14ac:dyDescent="0.45">
      <c r="A1703" t="s">
        <v>22</v>
      </c>
      <c r="B1703">
        <v>2020</v>
      </c>
      <c r="C1703" s="1">
        <v>43893</v>
      </c>
      <c r="D1703" t="s">
        <v>23</v>
      </c>
      <c r="E1703">
        <v>125126</v>
      </c>
      <c r="F1703">
        <v>4851640</v>
      </c>
      <c r="G1703">
        <v>2.58</v>
      </c>
    </row>
    <row r="1704" spans="1:7" x14ac:dyDescent="0.45">
      <c r="A1704" t="s">
        <v>7</v>
      </c>
      <c r="B1704">
        <v>2020</v>
      </c>
      <c r="C1704" s="1">
        <v>43893</v>
      </c>
      <c r="D1704" t="s">
        <v>25</v>
      </c>
      <c r="E1704">
        <v>48015</v>
      </c>
      <c r="F1704">
        <v>589481</v>
      </c>
      <c r="G1704">
        <v>8.15</v>
      </c>
    </row>
    <row r="1705" spans="1:7" x14ac:dyDescent="0.45">
      <c r="A1705" t="s">
        <v>9</v>
      </c>
      <c r="B1705">
        <v>2020</v>
      </c>
      <c r="C1705" s="1">
        <v>43893</v>
      </c>
      <c r="D1705" t="s">
        <v>25</v>
      </c>
      <c r="E1705">
        <v>145589</v>
      </c>
      <c r="F1705">
        <v>2476087</v>
      </c>
      <c r="G1705">
        <v>5.88</v>
      </c>
    </row>
    <row r="1706" spans="1:7" x14ac:dyDescent="0.45">
      <c r="A1706" t="s">
        <v>10</v>
      </c>
      <c r="B1706">
        <v>2020</v>
      </c>
      <c r="C1706" s="1">
        <v>43893</v>
      </c>
      <c r="D1706" t="s">
        <v>25</v>
      </c>
      <c r="E1706">
        <v>463734</v>
      </c>
      <c r="F1706">
        <v>4789291</v>
      </c>
      <c r="G1706">
        <v>9.68</v>
      </c>
    </row>
    <row r="1707" spans="1:7" x14ac:dyDescent="0.45">
      <c r="A1707" t="s">
        <v>11</v>
      </c>
      <c r="B1707">
        <v>2020</v>
      </c>
      <c r="C1707" s="1">
        <v>43893</v>
      </c>
      <c r="D1707" t="s">
        <v>25</v>
      </c>
      <c r="E1707">
        <v>182565</v>
      </c>
      <c r="F1707">
        <v>3019188</v>
      </c>
      <c r="G1707">
        <v>6.05</v>
      </c>
    </row>
    <row r="1708" spans="1:7" x14ac:dyDescent="0.45">
      <c r="A1708" t="s">
        <v>12</v>
      </c>
      <c r="B1708">
        <v>2020</v>
      </c>
      <c r="C1708" s="1">
        <v>43893</v>
      </c>
      <c r="D1708" t="s">
        <v>25</v>
      </c>
      <c r="E1708">
        <v>1753257</v>
      </c>
      <c r="F1708">
        <v>18207522</v>
      </c>
      <c r="G1708">
        <v>9.6300000000000008</v>
      </c>
    </row>
    <row r="1709" spans="1:7" x14ac:dyDescent="0.45">
      <c r="A1709" t="s">
        <v>13</v>
      </c>
      <c r="B1709">
        <v>2020</v>
      </c>
      <c r="C1709" s="1">
        <v>43893</v>
      </c>
      <c r="D1709" t="s">
        <v>25</v>
      </c>
      <c r="E1709">
        <v>857698</v>
      </c>
      <c r="F1709">
        <v>10512479</v>
      </c>
      <c r="G1709">
        <v>8.16</v>
      </c>
    </row>
    <row r="1710" spans="1:7" x14ac:dyDescent="0.45">
      <c r="A1710" t="s">
        <v>14</v>
      </c>
      <c r="B1710">
        <v>2020</v>
      </c>
      <c r="C1710" s="1">
        <v>43893</v>
      </c>
      <c r="D1710" t="s">
        <v>25</v>
      </c>
      <c r="E1710">
        <v>172777</v>
      </c>
      <c r="F1710">
        <v>2371396</v>
      </c>
      <c r="G1710">
        <v>7.29</v>
      </c>
    </row>
    <row r="1711" spans="1:7" x14ac:dyDescent="0.45">
      <c r="A1711" t="s">
        <v>15</v>
      </c>
      <c r="B1711">
        <v>2020</v>
      </c>
      <c r="C1711" s="1">
        <v>43893</v>
      </c>
      <c r="D1711" t="s">
        <v>25</v>
      </c>
      <c r="E1711">
        <v>262079</v>
      </c>
      <c r="F1711">
        <v>3691561</v>
      </c>
      <c r="G1711">
        <v>7.1</v>
      </c>
    </row>
    <row r="1712" spans="1:7" x14ac:dyDescent="0.45">
      <c r="A1712" t="s">
        <v>17</v>
      </c>
      <c r="B1712">
        <v>2020</v>
      </c>
      <c r="C1712" s="1">
        <v>43893</v>
      </c>
      <c r="D1712" t="s">
        <v>25</v>
      </c>
      <c r="E1712">
        <v>383511</v>
      </c>
      <c r="F1712">
        <v>5862386</v>
      </c>
      <c r="G1712">
        <v>6.54</v>
      </c>
    </row>
    <row r="1713" spans="1:7" x14ac:dyDescent="0.45">
      <c r="A1713" t="s">
        <v>18</v>
      </c>
      <c r="B1713">
        <v>2020</v>
      </c>
      <c r="C1713" s="1">
        <v>43893</v>
      </c>
      <c r="D1713" t="s">
        <v>25</v>
      </c>
      <c r="E1713">
        <v>456674</v>
      </c>
      <c r="F1713">
        <v>5077875</v>
      </c>
      <c r="G1713">
        <v>8.99</v>
      </c>
    </row>
    <row r="1714" spans="1:7" x14ac:dyDescent="0.45">
      <c r="A1714" t="s">
        <v>19</v>
      </c>
      <c r="B1714">
        <v>2020</v>
      </c>
      <c r="C1714" s="1">
        <v>43893</v>
      </c>
      <c r="D1714" t="s">
        <v>25</v>
      </c>
      <c r="E1714">
        <v>72420</v>
      </c>
      <c r="F1714">
        <v>617880</v>
      </c>
      <c r="G1714">
        <v>11.72</v>
      </c>
    </row>
    <row r="1715" spans="1:7" x14ac:dyDescent="0.45">
      <c r="A1715" t="s">
        <v>24</v>
      </c>
      <c r="B1715">
        <v>2020</v>
      </c>
      <c r="C1715" s="1">
        <v>43893</v>
      </c>
      <c r="D1715" t="s">
        <v>25</v>
      </c>
      <c r="E1715">
        <v>210071</v>
      </c>
      <c r="F1715">
        <v>3547474</v>
      </c>
      <c r="G1715">
        <v>5.92</v>
      </c>
    </row>
    <row r="1716" spans="1:7" x14ac:dyDescent="0.45">
      <c r="A1716" t="s">
        <v>20</v>
      </c>
      <c r="B1716">
        <v>2020</v>
      </c>
      <c r="C1716" s="1">
        <v>43893</v>
      </c>
      <c r="D1716" t="s">
        <v>25</v>
      </c>
      <c r="E1716">
        <v>1635992</v>
      </c>
      <c r="F1716">
        <v>23257363</v>
      </c>
      <c r="G1716">
        <v>7.03</v>
      </c>
    </row>
    <row r="1717" spans="1:7" x14ac:dyDescent="0.45">
      <c r="A1717" t="s">
        <v>21</v>
      </c>
      <c r="B1717">
        <v>2020</v>
      </c>
      <c r="C1717" s="1">
        <v>43893</v>
      </c>
      <c r="D1717" t="s">
        <v>25</v>
      </c>
      <c r="E1717">
        <v>546917</v>
      </c>
      <c r="F1717">
        <v>7094962</v>
      </c>
      <c r="G1717">
        <v>7.71</v>
      </c>
    </row>
    <row r="1718" spans="1:7" x14ac:dyDescent="0.45">
      <c r="A1718" t="s">
        <v>7</v>
      </c>
      <c r="B1718">
        <v>2020</v>
      </c>
      <c r="C1718" s="1">
        <v>43925</v>
      </c>
      <c r="D1718" t="s">
        <v>8</v>
      </c>
      <c r="E1718">
        <v>56477</v>
      </c>
      <c r="F1718">
        <v>589481</v>
      </c>
      <c r="G1718">
        <v>9.58</v>
      </c>
    </row>
    <row r="1719" spans="1:7" x14ac:dyDescent="0.45">
      <c r="A1719" t="s">
        <v>9</v>
      </c>
      <c r="B1719">
        <v>2020</v>
      </c>
      <c r="C1719" s="1">
        <v>43925</v>
      </c>
      <c r="D1719" t="s">
        <v>8</v>
      </c>
      <c r="E1719">
        <v>146139</v>
      </c>
      <c r="F1719">
        <v>2476087</v>
      </c>
      <c r="G1719">
        <v>5.9</v>
      </c>
    </row>
    <row r="1720" spans="1:7" x14ac:dyDescent="0.45">
      <c r="A1720" t="s">
        <v>10</v>
      </c>
      <c r="B1720">
        <v>2020</v>
      </c>
      <c r="C1720" s="1">
        <v>43925</v>
      </c>
      <c r="D1720" t="s">
        <v>8</v>
      </c>
      <c r="E1720">
        <v>487857</v>
      </c>
      <c r="F1720">
        <v>4789291</v>
      </c>
      <c r="G1720">
        <v>10.19</v>
      </c>
    </row>
    <row r="1721" spans="1:7" x14ac:dyDescent="0.45">
      <c r="A1721" t="s">
        <v>11</v>
      </c>
      <c r="B1721">
        <v>2020</v>
      </c>
      <c r="C1721" s="1">
        <v>43925</v>
      </c>
      <c r="D1721" t="s">
        <v>8</v>
      </c>
      <c r="E1721">
        <v>221183</v>
      </c>
      <c r="F1721">
        <v>3019188</v>
      </c>
      <c r="G1721">
        <v>7.33</v>
      </c>
    </row>
    <row r="1722" spans="1:7" x14ac:dyDescent="0.45">
      <c r="A1722" t="s">
        <v>12</v>
      </c>
      <c r="B1722">
        <v>2020</v>
      </c>
      <c r="C1722" s="1">
        <v>43925</v>
      </c>
      <c r="D1722" t="s">
        <v>8</v>
      </c>
      <c r="E1722">
        <v>1438027</v>
      </c>
      <c r="F1722">
        <v>18207522</v>
      </c>
      <c r="G1722">
        <v>7.9</v>
      </c>
    </row>
    <row r="1723" spans="1:7" x14ac:dyDescent="0.45">
      <c r="A1723" t="s">
        <v>13</v>
      </c>
      <c r="B1723">
        <v>2020</v>
      </c>
      <c r="C1723" s="1">
        <v>43925</v>
      </c>
      <c r="D1723" t="s">
        <v>8</v>
      </c>
      <c r="E1723">
        <v>663382</v>
      </c>
      <c r="F1723">
        <v>10512479</v>
      </c>
      <c r="G1723">
        <v>6.31</v>
      </c>
    </row>
    <row r="1724" spans="1:7" x14ac:dyDescent="0.45">
      <c r="A1724" t="s">
        <v>14</v>
      </c>
      <c r="B1724">
        <v>2020</v>
      </c>
      <c r="C1724" s="1">
        <v>43925</v>
      </c>
      <c r="D1724" t="s">
        <v>8</v>
      </c>
      <c r="E1724">
        <v>179460</v>
      </c>
      <c r="F1724">
        <v>2371396</v>
      </c>
      <c r="G1724">
        <v>7.57</v>
      </c>
    </row>
    <row r="1725" spans="1:7" x14ac:dyDescent="0.45">
      <c r="A1725" t="s">
        <v>15</v>
      </c>
      <c r="B1725">
        <v>2020</v>
      </c>
      <c r="C1725" s="1">
        <v>43925</v>
      </c>
      <c r="D1725" t="s">
        <v>8</v>
      </c>
      <c r="E1725">
        <v>315002</v>
      </c>
      <c r="F1725">
        <v>3691561</v>
      </c>
      <c r="G1725">
        <v>8.5299999999999994</v>
      </c>
    </row>
    <row r="1726" spans="1:7" x14ac:dyDescent="0.45">
      <c r="A1726" t="s">
        <v>16</v>
      </c>
      <c r="B1726">
        <v>2020</v>
      </c>
      <c r="C1726" s="1">
        <v>43925</v>
      </c>
      <c r="D1726" t="s">
        <v>8</v>
      </c>
      <c r="E1726">
        <v>320160</v>
      </c>
      <c r="F1726">
        <v>3799736</v>
      </c>
      <c r="G1726">
        <v>8.43</v>
      </c>
    </row>
    <row r="1727" spans="1:7" x14ac:dyDescent="0.45">
      <c r="A1727" t="s">
        <v>17</v>
      </c>
      <c r="B1727">
        <v>2020</v>
      </c>
      <c r="C1727" s="1">
        <v>43925</v>
      </c>
      <c r="D1727" t="s">
        <v>8</v>
      </c>
      <c r="E1727">
        <v>529555</v>
      </c>
      <c r="F1727">
        <v>5862386</v>
      </c>
      <c r="G1727">
        <v>9.0299999999999994</v>
      </c>
    </row>
    <row r="1728" spans="1:7" x14ac:dyDescent="0.45">
      <c r="A1728" t="s">
        <v>18</v>
      </c>
      <c r="B1728">
        <v>2020</v>
      </c>
      <c r="C1728" s="1">
        <v>43925</v>
      </c>
      <c r="D1728" t="s">
        <v>8</v>
      </c>
      <c r="E1728">
        <v>495004</v>
      </c>
      <c r="F1728">
        <v>5077875</v>
      </c>
      <c r="G1728">
        <v>9.75</v>
      </c>
    </row>
    <row r="1729" spans="1:7" x14ac:dyDescent="0.45">
      <c r="A1729" t="s">
        <v>19</v>
      </c>
      <c r="B1729">
        <v>2020</v>
      </c>
      <c r="C1729" s="1">
        <v>43925</v>
      </c>
      <c r="D1729" t="s">
        <v>8</v>
      </c>
      <c r="E1729">
        <v>65180</v>
      </c>
      <c r="F1729">
        <v>617880</v>
      </c>
      <c r="G1729">
        <v>10.55</v>
      </c>
    </row>
    <row r="1730" spans="1:7" x14ac:dyDescent="0.45">
      <c r="A1730" t="s">
        <v>20</v>
      </c>
      <c r="B1730">
        <v>2020</v>
      </c>
      <c r="C1730" s="1">
        <v>43925</v>
      </c>
      <c r="D1730" t="s">
        <v>8</v>
      </c>
      <c r="E1730">
        <v>1519441</v>
      </c>
      <c r="F1730">
        <v>23257363</v>
      </c>
      <c r="G1730">
        <v>6.53</v>
      </c>
    </row>
    <row r="1731" spans="1:7" x14ac:dyDescent="0.45">
      <c r="A1731" t="s">
        <v>21</v>
      </c>
      <c r="B1731">
        <v>2020</v>
      </c>
      <c r="C1731" s="1">
        <v>43925</v>
      </c>
      <c r="D1731" t="s">
        <v>8</v>
      </c>
      <c r="E1731">
        <v>427915</v>
      </c>
      <c r="F1731">
        <v>7094962</v>
      </c>
      <c r="G1731">
        <v>6.03</v>
      </c>
    </row>
    <row r="1732" spans="1:7" x14ac:dyDescent="0.45">
      <c r="A1732" t="s">
        <v>22</v>
      </c>
      <c r="B1732">
        <v>2020</v>
      </c>
      <c r="C1732" s="1">
        <v>43925</v>
      </c>
      <c r="D1732" t="s">
        <v>8</v>
      </c>
      <c r="E1732">
        <v>534098</v>
      </c>
      <c r="F1732">
        <v>4851640</v>
      </c>
      <c r="G1732">
        <v>11.01</v>
      </c>
    </row>
    <row r="1733" spans="1:7" x14ac:dyDescent="0.45">
      <c r="A1733" t="s">
        <v>7</v>
      </c>
      <c r="B1733">
        <v>2020</v>
      </c>
      <c r="C1733" s="1">
        <v>43925</v>
      </c>
      <c r="D1733" t="s">
        <v>23</v>
      </c>
      <c r="E1733">
        <v>22370</v>
      </c>
      <c r="F1733">
        <v>589481</v>
      </c>
      <c r="G1733">
        <v>3.79</v>
      </c>
    </row>
    <row r="1734" spans="1:7" x14ac:dyDescent="0.45">
      <c r="A1734" t="s">
        <v>9</v>
      </c>
      <c r="B1734">
        <v>2020</v>
      </c>
      <c r="C1734" s="1">
        <v>43925</v>
      </c>
      <c r="D1734" t="s">
        <v>23</v>
      </c>
      <c r="E1734">
        <v>54066</v>
      </c>
      <c r="F1734">
        <v>2476087</v>
      </c>
      <c r="G1734">
        <v>2.1800000000000002</v>
      </c>
    </row>
    <row r="1735" spans="1:7" x14ac:dyDescent="0.45">
      <c r="A1735" t="s">
        <v>10</v>
      </c>
      <c r="B1735">
        <v>2020</v>
      </c>
      <c r="C1735" s="1">
        <v>43925</v>
      </c>
      <c r="D1735" t="s">
        <v>23</v>
      </c>
      <c r="E1735">
        <v>185167</v>
      </c>
      <c r="F1735">
        <v>4789291</v>
      </c>
      <c r="G1735">
        <v>3.87</v>
      </c>
    </row>
    <row r="1736" spans="1:7" x14ac:dyDescent="0.45">
      <c r="A1736" t="s">
        <v>11</v>
      </c>
      <c r="B1736">
        <v>2020</v>
      </c>
      <c r="C1736" s="1">
        <v>43925</v>
      </c>
      <c r="D1736" t="s">
        <v>23</v>
      </c>
      <c r="E1736">
        <v>128637</v>
      </c>
      <c r="F1736">
        <v>3019188</v>
      </c>
      <c r="G1736">
        <v>4.26</v>
      </c>
    </row>
    <row r="1737" spans="1:7" x14ac:dyDescent="0.45">
      <c r="A1737" t="s">
        <v>12</v>
      </c>
      <c r="B1737">
        <v>2020</v>
      </c>
      <c r="C1737" s="1">
        <v>43925</v>
      </c>
      <c r="D1737" t="s">
        <v>23</v>
      </c>
      <c r="E1737">
        <v>755172</v>
      </c>
      <c r="F1737">
        <v>18207522</v>
      </c>
      <c r="G1737">
        <v>4.1500000000000004</v>
      </c>
    </row>
    <row r="1738" spans="1:7" x14ac:dyDescent="0.45">
      <c r="A1738" t="s">
        <v>13</v>
      </c>
      <c r="B1738">
        <v>2020</v>
      </c>
      <c r="C1738" s="1">
        <v>43925</v>
      </c>
      <c r="D1738" t="s">
        <v>23</v>
      </c>
      <c r="E1738">
        <v>393602</v>
      </c>
      <c r="F1738">
        <v>10512479</v>
      </c>
      <c r="G1738">
        <v>3.74</v>
      </c>
    </row>
    <row r="1739" spans="1:7" x14ac:dyDescent="0.45">
      <c r="A1739" t="s">
        <v>15</v>
      </c>
      <c r="B1739">
        <v>2020</v>
      </c>
      <c r="C1739" s="1">
        <v>43925</v>
      </c>
      <c r="D1739" t="s">
        <v>23</v>
      </c>
      <c r="E1739">
        <v>75637</v>
      </c>
      <c r="F1739">
        <v>3691561</v>
      </c>
      <c r="G1739">
        <v>2.0499999999999998</v>
      </c>
    </row>
    <row r="1740" spans="1:7" x14ac:dyDescent="0.45">
      <c r="A1740" t="s">
        <v>16</v>
      </c>
      <c r="B1740">
        <v>2020</v>
      </c>
      <c r="C1740" s="1">
        <v>43925</v>
      </c>
      <c r="D1740" t="s">
        <v>23</v>
      </c>
      <c r="E1740">
        <v>101758</v>
      </c>
      <c r="F1740">
        <v>3799736</v>
      </c>
      <c r="G1740">
        <v>2.68</v>
      </c>
    </row>
    <row r="1741" spans="1:7" x14ac:dyDescent="0.45">
      <c r="A1741" t="s">
        <v>17</v>
      </c>
      <c r="B1741">
        <v>2020</v>
      </c>
      <c r="C1741" s="1">
        <v>43925</v>
      </c>
      <c r="D1741" t="s">
        <v>23</v>
      </c>
      <c r="E1741">
        <v>309496</v>
      </c>
      <c r="F1741">
        <v>5862386</v>
      </c>
      <c r="G1741">
        <v>5.28</v>
      </c>
    </row>
    <row r="1742" spans="1:7" x14ac:dyDescent="0.45">
      <c r="A1742" t="s">
        <v>18</v>
      </c>
      <c r="B1742">
        <v>2020</v>
      </c>
      <c r="C1742" s="1">
        <v>43925</v>
      </c>
      <c r="D1742" t="s">
        <v>23</v>
      </c>
      <c r="E1742">
        <v>165193</v>
      </c>
      <c r="F1742">
        <v>5077875</v>
      </c>
      <c r="G1742">
        <v>3.25</v>
      </c>
    </row>
    <row r="1743" spans="1:7" x14ac:dyDescent="0.45">
      <c r="A1743" t="s">
        <v>19</v>
      </c>
      <c r="B1743">
        <v>2020</v>
      </c>
      <c r="C1743" s="1">
        <v>43925</v>
      </c>
      <c r="D1743" t="s">
        <v>23</v>
      </c>
      <c r="E1743">
        <v>17235</v>
      </c>
      <c r="F1743">
        <v>617880</v>
      </c>
      <c r="G1743">
        <v>2.79</v>
      </c>
    </row>
    <row r="1744" spans="1:7" x14ac:dyDescent="0.45">
      <c r="A1744" t="s">
        <v>24</v>
      </c>
      <c r="B1744">
        <v>2020</v>
      </c>
      <c r="C1744" s="1">
        <v>43925</v>
      </c>
      <c r="D1744" t="s">
        <v>23</v>
      </c>
      <c r="E1744">
        <v>181577</v>
      </c>
      <c r="F1744">
        <v>3547474</v>
      </c>
      <c r="G1744">
        <v>5.12</v>
      </c>
    </row>
    <row r="1745" spans="1:7" x14ac:dyDescent="0.45">
      <c r="A1745" t="s">
        <v>20</v>
      </c>
      <c r="B1745">
        <v>2020</v>
      </c>
      <c r="C1745" s="1">
        <v>43925</v>
      </c>
      <c r="D1745" t="s">
        <v>23</v>
      </c>
      <c r="E1745">
        <v>744306</v>
      </c>
      <c r="F1745">
        <v>23257363</v>
      </c>
      <c r="G1745">
        <v>3.2</v>
      </c>
    </row>
    <row r="1746" spans="1:7" x14ac:dyDescent="0.45">
      <c r="A1746" t="s">
        <v>21</v>
      </c>
      <c r="B1746">
        <v>2020</v>
      </c>
      <c r="C1746" s="1">
        <v>43925</v>
      </c>
      <c r="D1746" t="s">
        <v>23</v>
      </c>
      <c r="E1746">
        <v>306134</v>
      </c>
      <c r="F1746">
        <v>7094962</v>
      </c>
      <c r="G1746">
        <v>4.3099999999999996</v>
      </c>
    </row>
    <row r="1747" spans="1:7" x14ac:dyDescent="0.45">
      <c r="A1747" t="s">
        <v>22</v>
      </c>
      <c r="B1747">
        <v>2020</v>
      </c>
      <c r="C1747" s="1">
        <v>43925</v>
      </c>
      <c r="D1747" t="s">
        <v>23</v>
      </c>
      <c r="E1747">
        <v>177467</v>
      </c>
      <c r="F1747">
        <v>4851640</v>
      </c>
      <c r="G1747">
        <v>3.66</v>
      </c>
    </row>
    <row r="1748" spans="1:7" x14ac:dyDescent="0.45">
      <c r="A1748" t="s">
        <v>7</v>
      </c>
      <c r="B1748">
        <v>2020</v>
      </c>
      <c r="C1748" s="1">
        <v>43925</v>
      </c>
      <c r="D1748" t="s">
        <v>25</v>
      </c>
      <c r="E1748">
        <v>46318</v>
      </c>
      <c r="F1748">
        <v>589481</v>
      </c>
      <c r="G1748">
        <v>7.86</v>
      </c>
    </row>
    <row r="1749" spans="1:7" x14ac:dyDescent="0.45">
      <c r="A1749" t="s">
        <v>9</v>
      </c>
      <c r="B1749">
        <v>2020</v>
      </c>
      <c r="C1749" s="1">
        <v>43925</v>
      </c>
      <c r="D1749" t="s">
        <v>25</v>
      </c>
      <c r="E1749">
        <v>187381</v>
      </c>
      <c r="F1749">
        <v>2476087</v>
      </c>
      <c r="G1749">
        <v>7.57</v>
      </c>
    </row>
    <row r="1750" spans="1:7" x14ac:dyDescent="0.45">
      <c r="A1750" t="s">
        <v>10</v>
      </c>
      <c r="B1750">
        <v>2020</v>
      </c>
      <c r="C1750" s="1">
        <v>43925</v>
      </c>
      <c r="D1750" t="s">
        <v>25</v>
      </c>
      <c r="E1750">
        <v>411066</v>
      </c>
      <c r="F1750">
        <v>4789291</v>
      </c>
      <c r="G1750">
        <v>8.58</v>
      </c>
    </row>
    <row r="1751" spans="1:7" x14ac:dyDescent="0.45">
      <c r="A1751" t="s">
        <v>11</v>
      </c>
      <c r="B1751">
        <v>2020</v>
      </c>
      <c r="C1751" s="1">
        <v>43925</v>
      </c>
      <c r="D1751" t="s">
        <v>25</v>
      </c>
      <c r="E1751">
        <v>164406</v>
      </c>
      <c r="F1751">
        <v>3019188</v>
      </c>
      <c r="G1751">
        <v>5.45</v>
      </c>
    </row>
    <row r="1752" spans="1:7" x14ac:dyDescent="0.45">
      <c r="A1752" t="s">
        <v>12</v>
      </c>
      <c r="B1752">
        <v>2020</v>
      </c>
      <c r="C1752" s="1">
        <v>43925</v>
      </c>
      <c r="D1752" t="s">
        <v>25</v>
      </c>
      <c r="E1752">
        <v>1429488</v>
      </c>
      <c r="F1752">
        <v>18207522</v>
      </c>
      <c r="G1752">
        <v>7.85</v>
      </c>
    </row>
    <row r="1753" spans="1:7" x14ac:dyDescent="0.45">
      <c r="A1753" t="s">
        <v>13</v>
      </c>
      <c r="B1753">
        <v>2020</v>
      </c>
      <c r="C1753" s="1">
        <v>43925</v>
      </c>
      <c r="D1753" t="s">
        <v>25</v>
      </c>
      <c r="E1753">
        <v>819741</v>
      </c>
      <c r="F1753">
        <v>10512479</v>
      </c>
      <c r="G1753">
        <v>7.8</v>
      </c>
    </row>
    <row r="1754" spans="1:7" x14ac:dyDescent="0.45">
      <c r="A1754" t="s">
        <v>14</v>
      </c>
      <c r="B1754">
        <v>2020</v>
      </c>
      <c r="C1754" s="1">
        <v>43925</v>
      </c>
      <c r="D1754" t="s">
        <v>25</v>
      </c>
      <c r="E1754">
        <v>183760</v>
      </c>
      <c r="F1754">
        <v>2371396</v>
      </c>
      <c r="G1754">
        <v>7.75</v>
      </c>
    </row>
    <row r="1755" spans="1:7" x14ac:dyDescent="0.45">
      <c r="A1755" t="s">
        <v>15</v>
      </c>
      <c r="B1755">
        <v>2020</v>
      </c>
      <c r="C1755" s="1">
        <v>43925</v>
      </c>
      <c r="D1755" t="s">
        <v>25</v>
      </c>
      <c r="E1755">
        <v>278550</v>
      </c>
      <c r="F1755">
        <v>3691561</v>
      </c>
      <c r="G1755">
        <v>7.55</v>
      </c>
    </row>
    <row r="1756" spans="1:7" x14ac:dyDescent="0.45">
      <c r="A1756" t="s">
        <v>17</v>
      </c>
      <c r="B1756">
        <v>2020</v>
      </c>
      <c r="C1756" s="1">
        <v>43925</v>
      </c>
      <c r="D1756" t="s">
        <v>25</v>
      </c>
      <c r="E1756">
        <v>420256</v>
      </c>
      <c r="F1756">
        <v>5862386</v>
      </c>
      <c r="G1756">
        <v>7.17</v>
      </c>
    </row>
    <row r="1757" spans="1:7" x14ac:dyDescent="0.45">
      <c r="A1757" t="s">
        <v>18</v>
      </c>
      <c r="B1757">
        <v>2020</v>
      </c>
      <c r="C1757" s="1">
        <v>43925</v>
      </c>
      <c r="D1757" t="s">
        <v>25</v>
      </c>
      <c r="E1757">
        <v>463318</v>
      </c>
      <c r="F1757">
        <v>5077875</v>
      </c>
      <c r="G1757">
        <v>9.1199999999999992</v>
      </c>
    </row>
    <row r="1758" spans="1:7" x14ac:dyDescent="0.45">
      <c r="A1758" t="s">
        <v>19</v>
      </c>
      <c r="B1758">
        <v>2020</v>
      </c>
      <c r="C1758" s="1">
        <v>43925</v>
      </c>
      <c r="D1758" t="s">
        <v>25</v>
      </c>
      <c r="E1758">
        <v>74846</v>
      </c>
      <c r="F1758">
        <v>617880</v>
      </c>
      <c r="G1758">
        <v>12.11</v>
      </c>
    </row>
    <row r="1759" spans="1:7" x14ac:dyDescent="0.45">
      <c r="A1759" t="s">
        <v>24</v>
      </c>
      <c r="B1759">
        <v>2020</v>
      </c>
      <c r="C1759" s="1">
        <v>43925</v>
      </c>
      <c r="D1759" t="s">
        <v>25</v>
      </c>
      <c r="E1759">
        <v>317276</v>
      </c>
      <c r="F1759">
        <v>3547474</v>
      </c>
      <c r="G1759">
        <v>8.94</v>
      </c>
    </row>
    <row r="1760" spans="1:7" x14ac:dyDescent="0.45">
      <c r="A1760" t="s">
        <v>20</v>
      </c>
      <c r="B1760">
        <v>2020</v>
      </c>
      <c r="C1760" s="1">
        <v>43925</v>
      </c>
      <c r="D1760" t="s">
        <v>25</v>
      </c>
      <c r="E1760">
        <v>2608016</v>
      </c>
      <c r="F1760">
        <v>23257363</v>
      </c>
      <c r="G1760">
        <v>11.21</v>
      </c>
    </row>
    <row r="1761" spans="1:7" x14ac:dyDescent="0.45">
      <c r="A1761" t="s">
        <v>21</v>
      </c>
      <c r="B1761">
        <v>2020</v>
      </c>
      <c r="C1761" s="1">
        <v>43925</v>
      </c>
      <c r="D1761" t="s">
        <v>25</v>
      </c>
      <c r="E1761">
        <v>551550</v>
      </c>
      <c r="F1761">
        <v>7094962</v>
      </c>
      <c r="G1761">
        <v>7.77</v>
      </c>
    </row>
    <row r="1762" spans="1:7" x14ac:dyDescent="0.45">
      <c r="A1762" t="s">
        <v>7</v>
      </c>
      <c r="B1762">
        <v>2020</v>
      </c>
      <c r="C1762" s="1">
        <v>43956</v>
      </c>
      <c r="D1762" t="s">
        <v>8</v>
      </c>
      <c r="E1762">
        <v>66926</v>
      </c>
      <c r="F1762">
        <v>589481</v>
      </c>
      <c r="G1762">
        <v>11.35</v>
      </c>
    </row>
    <row r="1763" spans="1:7" x14ac:dyDescent="0.45">
      <c r="A1763" t="s">
        <v>9</v>
      </c>
      <c r="B1763">
        <v>2020</v>
      </c>
      <c r="C1763" s="1">
        <v>43956</v>
      </c>
      <c r="D1763" t="s">
        <v>8</v>
      </c>
      <c r="E1763">
        <v>160008</v>
      </c>
      <c r="F1763">
        <v>2476087</v>
      </c>
      <c r="G1763">
        <v>6.46</v>
      </c>
    </row>
    <row r="1764" spans="1:7" x14ac:dyDescent="0.45">
      <c r="A1764" t="s">
        <v>10</v>
      </c>
      <c r="B1764">
        <v>2020</v>
      </c>
      <c r="C1764" s="1">
        <v>43956</v>
      </c>
      <c r="D1764" t="s">
        <v>8</v>
      </c>
      <c r="E1764">
        <v>520984</v>
      </c>
      <c r="F1764">
        <v>4789291</v>
      </c>
      <c r="G1764">
        <v>10.88</v>
      </c>
    </row>
    <row r="1765" spans="1:7" x14ac:dyDescent="0.45">
      <c r="A1765" t="s">
        <v>12</v>
      </c>
      <c r="B1765">
        <v>2020</v>
      </c>
      <c r="C1765" s="1">
        <v>43956</v>
      </c>
      <c r="D1765" t="s">
        <v>8</v>
      </c>
      <c r="E1765">
        <v>1545339</v>
      </c>
      <c r="F1765">
        <v>18207522</v>
      </c>
      <c r="G1765">
        <v>8.49</v>
      </c>
    </row>
    <row r="1766" spans="1:7" x14ac:dyDescent="0.45">
      <c r="A1766" t="s">
        <v>13</v>
      </c>
      <c r="B1766">
        <v>2020</v>
      </c>
      <c r="C1766" s="1">
        <v>43956</v>
      </c>
      <c r="D1766" t="s">
        <v>8</v>
      </c>
      <c r="E1766">
        <v>769949</v>
      </c>
      <c r="F1766">
        <v>10512479</v>
      </c>
      <c r="G1766">
        <v>7.32</v>
      </c>
    </row>
    <row r="1767" spans="1:7" x14ac:dyDescent="0.45">
      <c r="A1767" t="s">
        <v>14</v>
      </c>
      <c r="B1767">
        <v>2020</v>
      </c>
      <c r="C1767" s="1">
        <v>43956</v>
      </c>
      <c r="D1767" t="s">
        <v>8</v>
      </c>
      <c r="E1767">
        <v>145632</v>
      </c>
      <c r="F1767">
        <v>2371396</v>
      </c>
      <c r="G1767">
        <v>6.14</v>
      </c>
    </row>
    <row r="1768" spans="1:7" x14ac:dyDescent="0.45">
      <c r="A1768" t="s">
        <v>15</v>
      </c>
      <c r="B1768">
        <v>2020</v>
      </c>
      <c r="C1768" s="1">
        <v>43956</v>
      </c>
      <c r="D1768" t="s">
        <v>8</v>
      </c>
      <c r="E1768">
        <v>298661</v>
      </c>
      <c r="F1768">
        <v>3691561</v>
      </c>
      <c r="G1768">
        <v>8.09</v>
      </c>
    </row>
    <row r="1769" spans="1:7" x14ac:dyDescent="0.45">
      <c r="A1769" t="s">
        <v>16</v>
      </c>
      <c r="B1769">
        <v>2020</v>
      </c>
      <c r="C1769" s="1">
        <v>43956</v>
      </c>
      <c r="D1769" t="s">
        <v>8</v>
      </c>
      <c r="E1769">
        <v>353603</v>
      </c>
      <c r="F1769">
        <v>3799736</v>
      </c>
      <c r="G1769">
        <v>9.31</v>
      </c>
    </row>
    <row r="1770" spans="1:7" x14ac:dyDescent="0.45">
      <c r="A1770" t="s">
        <v>17</v>
      </c>
      <c r="B1770">
        <v>2020</v>
      </c>
      <c r="C1770" s="1">
        <v>43956</v>
      </c>
      <c r="D1770" t="s">
        <v>8</v>
      </c>
      <c r="E1770">
        <v>539742</v>
      </c>
      <c r="F1770">
        <v>5862386</v>
      </c>
      <c r="G1770">
        <v>9.2100000000000009</v>
      </c>
    </row>
    <row r="1771" spans="1:7" x14ac:dyDescent="0.45">
      <c r="A1771" t="s">
        <v>18</v>
      </c>
      <c r="B1771">
        <v>2020</v>
      </c>
      <c r="C1771" s="1">
        <v>43956</v>
      </c>
      <c r="D1771" t="s">
        <v>8</v>
      </c>
      <c r="E1771">
        <v>500315</v>
      </c>
      <c r="F1771">
        <v>5077875</v>
      </c>
      <c r="G1771">
        <v>9.85</v>
      </c>
    </row>
    <row r="1772" spans="1:7" x14ac:dyDescent="0.45">
      <c r="A1772" t="s">
        <v>19</v>
      </c>
      <c r="B1772">
        <v>2020</v>
      </c>
      <c r="C1772" s="1">
        <v>43956</v>
      </c>
      <c r="D1772" t="s">
        <v>8</v>
      </c>
      <c r="E1772">
        <v>70335</v>
      </c>
      <c r="F1772">
        <v>617880</v>
      </c>
      <c r="G1772">
        <v>11.38</v>
      </c>
    </row>
    <row r="1773" spans="1:7" x14ac:dyDescent="0.45">
      <c r="A1773" t="s">
        <v>20</v>
      </c>
      <c r="B1773">
        <v>2020</v>
      </c>
      <c r="C1773" s="1">
        <v>43956</v>
      </c>
      <c r="D1773" t="s">
        <v>8</v>
      </c>
      <c r="E1773">
        <v>1605685</v>
      </c>
      <c r="F1773">
        <v>23257363</v>
      </c>
      <c r="G1773">
        <v>6.9</v>
      </c>
    </row>
    <row r="1774" spans="1:7" x14ac:dyDescent="0.45">
      <c r="A1774" t="s">
        <v>21</v>
      </c>
      <c r="B1774">
        <v>2020</v>
      </c>
      <c r="C1774" s="1">
        <v>43956</v>
      </c>
      <c r="D1774" t="s">
        <v>8</v>
      </c>
      <c r="E1774">
        <v>490353</v>
      </c>
      <c r="F1774">
        <v>7094962</v>
      </c>
      <c r="G1774">
        <v>6.91</v>
      </c>
    </row>
    <row r="1775" spans="1:7" x14ac:dyDescent="0.45">
      <c r="A1775" t="s">
        <v>22</v>
      </c>
      <c r="B1775">
        <v>2020</v>
      </c>
      <c r="C1775" s="1">
        <v>43956</v>
      </c>
      <c r="D1775" t="s">
        <v>8</v>
      </c>
      <c r="E1775">
        <v>492915</v>
      </c>
      <c r="F1775">
        <v>4851640</v>
      </c>
      <c r="G1775">
        <v>10.16</v>
      </c>
    </row>
    <row r="1776" spans="1:7" x14ac:dyDescent="0.45">
      <c r="A1776" t="s">
        <v>7</v>
      </c>
      <c r="B1776">
        <v>2020</v>
      </c>
      <c r="C1776" s="1">
        <v>43956</v>
      </c>
      <c r="D1776" t="s">
        <v>23</v>
      </c>
      <c r="E1776">
        <v>24801</v>
      </c>
      <c r="F1776">
        <v>589481</v>
      </c>
      <c r="G1776">
        <v>4.21</v>
      </c>
    </row>
    <row r="1777" spans="1:7" x14ac:dyDescent="0.45">
      <c r="A1777" t="s">
        <v>9</v>
      </c>
      <c r="B1777">
        <v>2020</v>
      </c>
      <c r="C1777" s="1">
        <v>43956</v>
      </c>
      <c r="D1777" t="s">
        <v>23</v>
      </c>
      <c r="E1777">
        <v>59386</v>
      </c>
      <c r="F1777">
        <v>2476087</v>
      </c>
      <c r="G1777">
        <v>2.4</v>
      </c>
    </row>
    <row r="1778" spans="1:7" x14ac:dyDescent="0.45">
      <c r="A1778" t="s">
        <v>10</v>
      </c>
      <c r="B1778">
        <v>2020</v>
      </c>
      <c r="C1778" s="1">
        <v>43956</v>
      </c>
      <c r="D1778" t="s">
        <v>23</v>
      </c>
      <c r="E1778">
        <v>185902</v>
      </c>
      <c r="F1778">
        <v>4789291</v>
      </c>
      <c r="G1778">
        <v>3.88</v>
      </c>
    </row>
    <row r="1779" spans="1:7" x14ac:dyDescent="0.45">
      <c r="A1779" t="s">
        <v>12</v>
      </c>
      <c r="B1779">
        <v>2020</v>
      </c>
      <c r="C1779" s="1">
        <v>43956</v>
      </c>
      <c r="D1779" t="s">
        <v>23</v>
      </c>
      <c r="E1779">
        <v>705053</v>
      </c>
      <c r="F1779">
        <v>18207522</v>
      </c>
      <c r="G1779">
        <v>3.87</v>
      </c>
    </row>
    <row r="1780" spans="1:7" x14ac:dyDescent="0.45">
      <c r="A1780" t="s">
        <v>13</v>
      </c>
      <c r="B1780">
        <v>2020</v>
      </c>
      <c r="C1780" s="1">
        <v>43956</v>
      </c>
      <c r="D1780" t="s">
        <v>23</v>
      </c>
      <c r="E1780">
        <v>388939</v>
      </c>
      <c r="F1780">
        <v>10512479</v>
      </c>
      <c r="G1780">
        <v>3.7</v>
      </c>
    </row>
    <row r="1781" spans="1:7" x14ac:dyDescent="0.45">
      <c r="A1781" t="s">
        <v>15</v>
      </c>
      <c r="B1781">
        <v>2020</v>
      </c>
      <c r="C1781" s="1">
        <v>43956</v>
      </c>
      <c r="D1781" t="s">
        <v>23</v>
      </c>
      <c r="E1781">
        <v>76657</v>
      </c>
      <c r="F1781">
        <v>3691561</v>
      </c>
      <c r="G1781">
        <v>2.08</v>
      </c>
    </row>
    <row r="1782" spans="1:7" x14ac:dyDescent="0.45">
      <c r="A1782" t="s">
        <v>16</v>
      </c>
      <c r="B1782">
        <v>2020</v>
      </c>
      <c r="C1782" s="1">
        <v>43956</v>
      </c>
      <c r="D1782" t="s">
        <v>23</v>
      </c>
      <c r="E1782">
        <v>110201</v>
      </c>
      <c r="F1782">
        <v>3799736</v>
      </c>
      <c r="G1782">
        <v>2.9</v>
      </c>
    </row>
    <row r="1783" spans="1:7" x14ac:dyDescent="0.45">
      <c r="A1783" t="s">
        <v>17</v>
      </c>
      <c r="B1783">
        <v>2020</v>
      </c>
      <c r="C1783" s="1">
        <v>43956</v>
      </c>
      <c r="D1783" t="s">
        <v>23</v>
      </c>
      <c r="E1783">
        <v>298870</v>
      </c>
      <c r="F1783">
        <v>5862386</v>
      </c>
      <c r="G1783">
        <v>5.0999999999999996</v>
      </c>
    </row>
    <row r="1784" spans="1:7" x14ac:dyDescent="0.45">
      <c r="A1784" t="s">
        <v>18</v>
      </c>
      <c r="B1784">
        <v>2020</v>
      </c>
      <c r="C1784" s="1">
        <v>43956</v>
      </c>
      <c r="D1784" t="s">
        <v>23</v>
      </c>
      <c r="E1784">
        <v>144330</v>
      </c>
      <c r="F1784">
        <v>5077875</v>
      </c>
      <c r="G1784">
        <v>2.84</v>
      </c>
    </row>
    <row r="1785" spans="1:7" x14ac:dyDescent="0.45">
      <c r="A1785" t="s">
        <v>19</v>
      </c>
      <c r="B1785">
        <v>2020</v>
      </c>
      <c r="C1785" s="1">
        <v>43956</v>
      </c>
      <c r="D1785" t="s">
        <v>23</v>
      </c>
      <c r="E1785">
        <v>14775</v>
      </c>
      <c r="F1785">
        <v>617880</v>
      </c>
      <c r="G1785">
        <v>2.39</v>
      </c>
    </row>
    <row r="1786" spans="1:7" x14ac:dyDescent="0.45">
      <c r="A1786" t="s">
        <v>24</v>
      </c>
      <c r="B1786">
        <v>2020</v>
      </c>
      <c r="C1786" s="1">
        <v>43956</v>
      </c>
      <c r="D1786" t="s">
        <v>23</v>
      </c>
      <c r="E1786">
        <v>165181</v>
      </c>
      <c r="F1786">
        <v>3547474</v>
      </c>
      <c r="G1786">
        <v>4.66</v>
      </c>
    </row>
    <row r="1787" spans="1:7" x14ac:dyDescent="0.45">
      <c r="A1787" t="s">
        <v>20</v>
      </c>
      <c r="B1787">
        <v>2020</v>
      </c>
      <c r="C1787" s="1">
        <v>43956</v>
      </c>
      <c r="D1787" t="s">
        <v>23</v>
      </c>
      <c r="E1787">
        <v>689362</v>
      </c>
      <c r="F1787">
        <v>23257363</v>
      </c>
      <c r="G1787">
        <v>2.96</v>
      </c>
    </row>
    <row r="1788" spans="1:7" x14ac:dyDescent="0.45">
      <c r="A1788" t="s">
        <v>21</v>
      </c>
      <c r="B1788">
        <v>2020</v>
      </c>
      <c r="C1788" s="1">
        <v>43956</v>
      </c>
      <c r="D1788" t="s">
        <v>23</v>
      </c>
      <c r="E1788">
        <v>324662</v>
      </c>
      <c r="F1788">
        <v>7094962</v>
      </c>
      <c r="G1788">
        <v>4.58</v>
      </c>
    </row>
    <row r="1789" spans="1:7" x14ac:dyDescent="0.45">
      <c r="A1789" t="s">
        <v>22</v>
      </c>
      <c r="B1789">
        <v>2020</v>
      </c>
      <c r="C1789" s="1">
        <v>43956</v>
      </c>
      <c r="D1789" t="s">
        <v>23</v>
      </c>
      <c r="E1789">
        <v>131978</v>
      </c>
      <c r="F1789">
        <v>4851640</v>
      </c>
      <c r="G1789">
        <v>2.72</v>
      </c>
    </row>
    <row r="1790" spans="1:7" x14ac:dyDescent="0.45">
      <c r="A1790" t="s">
        <v>7</v>
      </c>
      <c r="B1790">
        <v>2020</v>
      </c>
      <c r="C1790" s="1">
        <v>43956</v>
      </c>
      <c r="D1790" t="s">
        <v>25</v>
      </c>
      <c r="E1790">
        <v>59656</v>
      </c>
      <c r="F1790">
        <v>589481</v>
      </c>
      <c r="G1790">
        <v>10.119999999999999</v>
      </c>
    </row>
    <row r="1791" spans="1:7" x14ac:dyDescent="0.45">
      <c r="A1791" t="s">
        <v>9</v>
      </c>
      <c r="B1791">
        <v>2020</v>
      </c>
      <c r="C1791" s="1">
        <v>43956</v>
      </c>
      <c r="D1791" t="s">
        <v>25</v>
      </c>
      <c r="E1791">
        <v>205235</v>
      </c>
      <c r="F1791">
        <v>2476087</v>
      </c>
      <c r="G1791">
        <v>8.2899999999999991</v>
      </c>
    </row>
    <row r="1792" spans="1:7" x14ac:dyDescent="0.45">
      <c r="A1792" t="s">
        <v>10</v>
      </c>
      <c r="B1792">
        <v>2020</v>
      </c>
      <c r="C1792" s="1">
        <v>43956</v>
      </c>
      <c r="D1792" t="s">
        <v>25</v>
      </c>
      <c r="E1792">
        <v>505188</v>
      </c>
      <c r="F1792">
        <v>4789291</v>
      </c>
      <c r="G1792">
        <v>10.55</v>
      </c>
    </row>
    <row r="1793" spans="1:7" x14ac:dyDescent="0.45">
      <c r="A1793" t="s">
        <v>12</v>
      </c>
      <c r="B1793">
        <v>2020</v>
      </c>
      <c r="C1793" s="1">
        <v>43956</v>
      </c>
      <c r="D1793" t="s">
        <v>25</v>
      </c>
      <c r="E1793">
        <v>1681765</v>
      </c>
      <c r="F1793">
        <v>18207522</v>
      </c>
      <c r="G1793">
        <v>9.24</v>
      </c>
    </row>
    <row r="1794" spans="1:7" x14ac:dyDescent="0.45">
      <c r="A1794" t="s">
        <v>13</v>
      </c>
      <c r="B1794">
        <v>2020</v>
      </c>
      <c r="C1794" s="1">
        <v>43956</v>
      </c>
      <c r="D1794" t="s">
        <v>25</v>
      </c>
      <c r="E1794">
        <v>991072</v>
      </c>
      <c r="F1794">
        <v>10512479</v>
      </c>
      <c r="G1794">
        <v>9.43</v>
      </c>
    </row>
    <row r="1795" spans="1:7" x14ac:dyDescent="0.45">
      <c r="A1795" t="s">
        <v>14</v>
      </c>
      <c r="B1795">
        <v>2020</v>
      </c>
      <c r="C1795" s="1">
        <v>43956</v>
      </c>
      <c r="D1795" t="s">
        <v>25</v>
      </c>
      <c r="E1795">
        <v>215525</v>
      </c>
      <c r="F1795">
        <v>2371396</v>
      </c>
      <c r="G1795">
        <v>9.09</v>
      </c>
    </row>
    <row r="1796" spans="1:7" x14ac:dyDescent="0.45">
      <c r="A1796" t="s">
        <v>15</v>
      </c>
      <c r="B1796">
        <v>2020</v>
      </c>
      <c r="C1796" s="1">
        <v>43956</v>
      </c>
      <c r="D1796" t="s">
        <v>25</v>
      </c>
      <c r="E1796">
        <v>293553</v>
      </c>
      <c r="F1796">
        <v>3691561</v>
      </c>
      <c r="G1796">
        <v>7.95</v>
      </c>
    </row>
    <row r="1797" spans="1:7" x14ac:dyDescent="0.45">
      <c r="A1797" t="s">
        <v>17</v>
      </c>
      <c r="B1797">
        <v>2020</v>
      </c>
      <c r="C1797" s="1">
        <v>43956</v>
      </c>
      <c r="D1797" t="s">
        <v>25</v>
      </c>
      <c r="E1797">
        <v>364192</v>
      </c>
      <c r="F1797">
        <v>5862386</v>
      </c>
      <c r="G1797">
        <v>6.21</v>
      </c>
    </row>
    <row r="1798" spans="1:7" x14ac:dyDescent="0.45">
      <c r="A1798" t="s">
        <v>18</v>
      </c>
      <c r="B1798">
        <v>2020</v>
      </c>
      <c r="C1798" s="1">
        <v>43956</v>
      </c>
      <c r="D1798" t="s">
        <v>25</v>
      </c>
      <c r="E1798">
        <v>468559</v>
      </c>
      <c r="F1798">
        <v>5077875</v>
      </c>
      <c r="G1798">
        <v>9.23</v>
      </c>
    </row>
    <row r="1799" spans="1:7" x14ac:dyDescent="0.45">
      <c r="A1799" t="s">
        <v>19</v>
      </c>
      <c r="B1799">
        <v>2020</v>
      </c>
      <c r="C1799" s="1">
        <v>43956</v>
      </c>
      <c r="D1799" t="s">
        <v>25</v>
      </c>
      <c r="E1799">
        <v>75065</v>
      </c>
      <c r="F1799">
        <v>617880</v>
      </c>
      <c r="G1799">
        <v>12.15</v>
      </c>
    </row>
    <row r="1800" spans="1:7" x14ac:dyDescent="0.45">
      <c r="A1800" t="s">
        <v>24</v>
      </c>
      <c r="B1800">
        <v>2020</v>
      </c>
      <c r="C1800" s="1">
        <v>43956</v>
      </c>
      <c r="D1800" t="s">
        <v>25</v>
      </c>
      <c r="E1800">
        <v>366271</v>
      </c>
      <c r="F1800">
        <v>3547474</v>
      </c>
      <c r="G1800">
        <v>10.32</v>
      </c>
    </row>
    <row r="1801" spans="1:7" x14ac:dyDescent="0.45">
      <c r="A1801" t="s">
        <v>20</v>
      </c>
      <c r="B1801">
        <v>2020</v>
      </c>
      <c r="C1801" s="1">
        <v>43956</v>
      </c>
      <c r="D1801" t="s">
        <v>25</v>
      </c>
      <c r="E1801">
        <v>2369843</v>
      </c>
      <c r="F1801">
        <v>23257363</v>
      </c>
      <c r="G1801">
        <v>10.19</v>
      </c>
    </row>
    <row r="1802" spans="1:7" x14ac:dyDescent="0.45">
      <c r="A1802" t="s">
        <v>21</v>
      </c>
      <c r="B1802">
        <v>2020</v>
      </c>
      <c r="C1802" s="1">
        <v>43956</v>
      </c>
      <c r="D1802" t="s">
        <v>25</v>
      </c>
      <c r="E1802">
        <v>606073</v>
      </c>
      <c r="F1802">
        <v>7094962</v>
      </c>
      <c r="G1802">
        <v>8.5399999999999991</v>
      </c>
    </row>
    <row r="1803" spans="1:7" x14ac:dyDescent="0.45">
      <c r="A1803" t="s">
        <v>7</v>
      </c>
      <c r="B1803">
        <v>2020</v>
      </c>
      <c r="C1803" s="1">
        <v>43988</v>
      </c>
      <c r="D1803" t="s">
        <v>8</v>
      </c>
      <c r="E1803">
        <v>67804</v>
      </c>
      <c r="F1803">
        <v>589481</v>
      </c>
      <c r="G1803">
        <v>11.5</v>
      </c>
    </row>
    <row r="1804" spans="1:7" x14ac:dyDescent="0.45">
      <c r="A1804" t="s">
        <v>9</v>
      </c>
      <c r="B1804">
        <v>2020</v>
      </c>
      <c r="C1804" s="1">
        <v>43988</v>
      </c>
      <c r="D1804" t="s">
        <v>8</v>
      </c>
      <c r="E1804">
        <v>165750</v>
      </c>
      <c r="F1804">
        <v>2476087</v>
      </c>
      <c r="G1804">
        <v>6.69</v>
      </c>
    </row>
    <row r="1805" spans="1:7" x14ac:dyDescent="0.45">
      <c r="A1805" t="s">
        <v>12</v>
      </c>
      <c r="B1805">
        <v>2020</v>
      </c>
      <c r="C1805" s="1">
        <v>43988</v>
      </c>
      <c r="D1805" t="s">
        <v>8</v>
      </c>
      <c r="E1805">
        <v>1980176</v>
      </c>
      <c r="F1805">
        <v>18207522</v>
      </c>
      <c r="G1805">
        <v>10.88</v>
      </c>
    </row>
    <row r="1806" spans="1:7" x14ac:dyDescent="0.45">
      <c r="A1806" t="s">
        <v>13</v>
      </c>
      <c r="B1806">
        <v>2020</v>
      </c>
      <c r="C1806" s="1">
        <v>43988</v>
      </c>
      <c r="D1806" t="s">
        <v>8</v>
      </c>
      <c r="E1806">
        <v>878915</v>
      </c>
      <c r="F1806">
        <v>10512479</v>
      </c>
      <c r="G1806">
        <v>8.36</v>
      </c>
    </row>
    <row r="1807" spans="1:7" x14ac:dyDescent="0.45">
      <c r="A1807" t="s">
        <v>14</v>
      </c>
      <c r="B1807">
        <v>2020</v>
      </c>
      <c r="C1807" s="1">
        <v>43988</v>
      </c>
      <c r="D1807" t="s">
        <v>8</v>
      </c>
      <c r="E1807">
        <v>173307</v>
      </c>
      <c r="F1807">
        <v>2371396</v>
      </c>
      <c r="G1807">
        <v>7.31</v>
      </c>
    </row>
    <row r="1808" spans="1:7" x14ac:dyDescent="0.45">
      <c r="A1808" t="s">
        <v>15</v>
      </c>
      <c r="B1808">
        <v>2020</v>
      </c>
      <c r="C1808" s="1">
        <v>43988</v>
      </c>
      <c r="D1808" t="s">
        <v>8</v>
      </c>
      <c r="E1808">
        <v>305597</v>
      </c>
      <c r="F1808">
        <v>3691561</v>
      </c>
      <c r="G1808">
        <v>8.2799999999999994</v>
      </c>
    </row>
    <row r="1809" spans="1:7" x14ac:dyDescent="0.45">
      <c r="A1809" t="s">
        <v>16</v>
      </c>
      <c r="B1809">
        <v>2020</v>
      </c>
      <c r="C1809" s="1">
        <v>43988</v>
      </c>
      <c r="D1809" t="s">
        <v>8</v>
      </c>
      <c r="E1809">
        <v>350700</v>
      </c>
      <c r="F1809">
        <v>3799736</v>
      </c>
      <c r="G1809">
        <v>9.23</v>
      </c>
    </row>
    <row r="1810" spans="1:7" x14ac:dyDescent="0.45">
      <c r="A1810" t="s">
        <v>17</v>
      </c>
      <c r="B1810">
        <v>2020</v>
      </c>
      <c r="C1810" s="1">
        <v>43988</v>
      </c>
      <c r="D1810" t="s">
        <v>8</v>
      </c>
      <c r="E1810">
        <v>839124</v>
      </c>
      <c r="F1810">
        <v>5862386</v>
      </c>
      <c r="G1810">
        <v>14.31</v>
      </c>
    </row>
    <row r="1811" spans="1:7" x14ac:dyDescent="0.45">
      <c r="A1811" t="s">
        <v>18</v>
      </c>
      <c r="B1811">
        <v>2020</v>
      </c>
      <c r="C1811" s="1">
        <v>43988</v>
      </c>
      <c r="D1811" t="s">
        <v>8</v>
      </c>
      <c r="E1811">
        <v>621026</v>
      </c>
      <c r="F1811">
        <v>5077875</v>
      </c>
      <c r="G1811">
        <v>12.23</v>
      </c>
    </row>
    <row r="1812" spans="1:7" x14ac:dyDescent="0.45">
      <c r="A1812" t="s">
        <v>19</v>
      </c>
      <c r="B1812">
        <v>2020</v>
      </c>
      <c r="C1812" s="1">
        <v>43988</v>
      </c>
      <c r="D1812" t="s">
        <v>8</v>
      </c>
      <c r="E1812">
        <v>96115</v>
      </c>
      <c r="F1812">
        <v>617880</v>
      </c>
      <c r="G1812">
        <v>15.56</v>
      </c>
    </row>
    <row r="1813" spans="1:7" x14ac:dyDescent="0.45">
      <c r="A1813" t="s">
        <v>20</v>
      </c>
      <c r="B1813">
        <v>2020</v>
      </c>
      <c r="C1813" s="1">
        <v>43988</v>
      </c>
      <c r="D1813" t="s">
        <v>8</v>
      </c>
      <c r="E1813">
        <v>1654885</v>
      </c>
      <c r="F1813">
        <v>23257363</v>
      </c>
      <c r="G1813">
        <v>7.12</v>
      </c>
    </row>
    <row r="1814" spans="1:7" x14ac:dyDescent="0.45">
      <c r="A1814" t="s">
        <v>21</v>
      </c>
      <c r="B1814">
        <v>2020</v>
      </c>
      <c r="C1814" s="1">
        <v>43988</v>
      </c>
      <c r="D1814" t="s">
        <v>8</v>
      </c>
      <c r="E1814">
        <v>461143</v>
      </c>
      <c r="F1814">
        <v>7094962</v>
      </c>
      <c r="G1814">
        <v>6.5</v>
      </c>
    </row>
    <row r="1815" spans="1:7" x14ac:dyDescent="0.45">
      <c r="A1815" t="s">
        <v>22</v>
      </c>
      <c r="B1815">
        <v>2020</v>
      </c>
      <c r="C1815" s="1">
        <v>43988</v>
      </c>
      <c r="D1815" t="s">
        <v>8</v>
      </c>
      <c r="E1815">
        <v>512313</v>
      </c>
      <c r="F1815">
        <v>4851640</v>
      </c>
      <c r="G1815">
        <v>10.56</v>
      </c>
    </row>
    <row r="1816" spans="1:7" x14ac:dyDescent="0.45">
      <c r="A1816" t="s">
        <v>7</v>
      </c>
      <c r="B1816">
        <v>2020</v>
      </c>
      <c r="C1816" s="1">
        <v>43988</v>
      </c>
      <c r="D1816" t="s">
        <v>23</v>
      </c>
      <c r="E1816">
        <v>27926</v>
      </c>
      <c r="F1816">
        <v>589481</v>
      </c>
      <c r="G1816">
        <v>4.74</v>
      </c>
    </row>
    <row r="1817" spans="1:7" x14ac:dyDescent="0.45">
      <c r="A1817" t="s">
        <v>9</v>
      </c>
      <c r="B1817">
        <v>2020</v>
      </c>
      <c r="C1817" s="1">
        <v>43988</v>
      </c>
      <c r="D1817" t="s">
        <v>23</v>
      </c>
      <c r="E1817">
        <v>52474</v>
      </c>
      <c r="F1817">
        <v>2476087</v>
      </c>
      <c r="G1817">
        <v>2.12</v>
      </c>
    </row>
    <row r="1818" spans="1:7" x14ac:dyDescent="0.45">
      <c r="A1818" t="s">
        <v>12</v>
      </c>
      <c r="B1818">
        <v>2020</v>
      </c>
      <c r="C1818" s="1">
        <v>43988</v>
      </c>
      <c r="D1818" t="s">
        <v>23</v>
      </c>
      <c r="E1818">
        <v>767066</v>
      </c>
      <c r="F1818">
        <v>18207522</v>
      </c>
      <c r="G1818">
        <v>4.21</v>
      </c>
    </row>
    <row r="1819" spans="1:7" x14ac:dyDescent="0.45">
      <c r="A1819" t="s">
        <v>13</v>
      </c>
      <c r="B1819">
        <v>2020</v>
      </c>
      <c r="C1819" s="1">
        <v>43988</v>
      </c>
      <c r="D1819" t="s">
        <v>23</v>
      </c>
      <c r="E1819">
        <v>428974</v>
      </c>
      <c r="F1819">
        <v>10512479</v>
      </c>
      <c r="G1819">
        <v>4.08</v>
      </c>
    </row>
    <row r="1820" spans="1:7" x14ac:dyDescent="0.45">
      <c r="A1820" t="s">
        <v>15</v>
      </c>
      <c r="B1820">
        <v>2020</v>
      </c>
      <c r="C1820" s="1">
        <v>43988</v>
      </c>
      <c r="D1820" t="s">
        <v>23</v>
      </c>
      <c r="E1820">
        <v>74745</v>
      </c>
      <c r="F1820">
        <v>3691561</v>
      </c>
      <c r="G1820">
        <v>2.02</v>
      </c>
    </row>
    <row r="1821" spans="1:7" x14ac:dyDescent="0.45">
      <c r="A1821" t="s">
        <v>16</v>
      </c>
      <c r="B1821">
        <v>2020</v>
      </c>
      <c r="C1821" s="1">
        <v>43988</v>
      </c>
      <c r="D1821" t="s">
        <v>23</v>
      </c>
      <c r="E1821">
        <v>107478</v>
      </c>
      <c r="F1821">
        <v>3799736</v>
      </c>
      <c r="G1821">
        <v>2.83</v>
      </c>
    </row>
    <row r="1822" spans="1:7" x14ac:dyDescent="0.45">
      <c r="A1822" t="s">
        <v>17</v>
      </c>
      <c r="B1822">
        <v>2020</v>
      </c>
      <c r="C1822" s="1">
        <v>43988</v>
      </c>
      <c r="D1822" t="s">
        <v>23</v>
      </c>
      <c r="E1822">
        <v>382119</v>
      </c>
      <c r="F1822">
        <v>5862386</v>
      </c>
      <c r="G1822">
        <v>6.52</v>
      </c>
    </row>
    <row r="1823" spans="1:7" x14ac:dyDescent="0.45">
      <c r="A1823" t="s">
        <v>18</v>
      </c>
      <c r="B1823">
        <v>2020</v>
      </c>
      <c r="C1823" s="1">
        <v>43988</v>
      </c>
      <c r="D1823" t="s">
        <v>23</v>
      </c>
      <c r="E1823">
        <v>171219</v>
      </c>
      <c r="F1823">
        <v>5077875</v>
      </c>
      <c r="G1823">
        <v>3.37</v>
      </c>
    </row>
    <row r="1824" spans="1:7" x14ac:dyDescent="0.45">
      <c r="A1824" t="s">
        <v>19</v>
      </c>
      <c r="B1824">
        <v>2020</v>
      </c>
      <c r="C1824" s="1">
        <v>43988</v>
      </c>
      <c r="D1824" t="s">
        <v>23</v>
      </c>
      <c r="E1824">
        <v>18461</v>
      </c>
      <c r="F1824">
        <v>617880</v>
      </c>
      <c r="G1824">
        <v>2.99</v>
      </c>
    </row>
    <row r="1825" spans="1:7" x14ac:dyDescent="0.45">
      <c r="A1825" t="s">
        <v>24</v>
      </c>
      <c r="B1825">
        <v>2020</v>
      </c>
      <c r="C1825" s="1">
        <v>43988</v>
      </c>
      <c r="D1825" t="s">
        <v>23</v>
      </c>
      <c r="E1825">
        <v>155041</v>
      </c>
      <c r="F1825">
        <v>3547474</v>
      </c>
      <c r="G1825">
        <v>4.37</v>
      </c>
    </row>
    <row r="1826" spans="1:7" x14ac:dyDescent="0.45">
      <c r="A1826" t="s">
        <v>20</v>
      </c>
      <c r="B1826">
        <v>2020</v>
      </c>
      <c r="C1826" s="1">
        <v>43988</v>
      </c>
      <c r="D1826" t="s">
        <v>23</v>
      </c>
      <c r="E1826">
        <v>711876</v>
      </c>
      <c r="F1826">
        <v>23257363</v>
      </c>
      <c r="G1826">
        <v>3.06</v>
      </c>
    </row>
    <row r="1827" spans="1:7" x14ac:dyDescent="0.45">
      <c r="A1827" t="s">
        <v>21</v>
      </c>
      <c r="B1827">
        <v>2020</v>
      </c>
      <c r="C1827" s="1">
        <v>43988</v>
      </c>
      <c r="D1827" t="s">
        <v>23</v>
      </c>
      <c r="E1827">
        <v>319354</v>
      </c>
      <c r="F1827">
        <v>7094962</v>
      </c>
      <c r="G1827">
        <v>4.5</v>
      </c>
    </row>
    <row r="1828" spans="1:7" x14ac:dyDescent="0.45">
      <c r="A1828" t="s">
        <v>22</v>
      </c>
      <c r="B1828">
        <v>2020</v>
      </c>
      <c r="C1828" s="1">
        <v>43988</v>
      </c>
      <c r="D1828" t="s">
        <v>23</v>
      </c>
      <c r="E1828">
        <v>168978</v>
      </c>
      <c r="F1828">
        <v>4851640</v>
      </c>
      <c r="G1828">
        <v>3.48</v>
      </c>
    </row>
    <row r="1829" spans="1:7" x14ac:dyDescent="0.45">
      <c r="A1829" t="s">
        <v>7</v>
      </c>
      <c r="B1829">
        <v>2020</v>
      </c>
      <c r="C1829" s="1">
        <v>43988</v>
      </c>
      <c r="D1829" t="s">
        <v>25</v>
      </c>
      <c r="E1829">
        <v>61865</v>
      </c>
      <c r="F1829">
        <v>589481</v>
      </c>
      <c r="G1829">
        <v>10.49</v>
      </c>
    </row>
    <row r="1830" spans="1:7" x14ac:dyDescent="0.45">
      <c r="A1830" t="s">
        <v>9</v>
      </c>
      <c r="B1830">
        <v>2020</v>
      </c>
      <c r="C1830" s="1">
        <v>43988</v>
      </c>
      <c r="D1830" t="s">
        <v>25</v>
      </c>
      <c r="E1830">
        <v>193281</v>
      </c>
      <c r="F1830">
        <v>2476087</v>
      </c>
      <c r="G1830">
        <v>7.81</v>
      </c>
    </row>
    <row r="1831" spans="1:7" x14ac:dyDescent="0.45">
      <c r="A1831" t="s">
        <v>12</v>
      </c>
      <c r="B1831">
        <v>2020</v>
      </c>
      <c r="C1831" s="1">
        <v>43988</v>
      </c>
      <c r="D1831" t="s">
        <v>25</v>
      </c>
      <c r="E1831">
        <v>1730414</v>
      </c>
      <c r="F1831">
        <v>18207522</v>
      </c>
      <c r="G1831">
        <v>9.5</v>
      </c>
    </row>
    <row r="1832" spans="1:7" x14ac:dyDescent="0.45">
      <c r="A1832" t="s">
        <v>13</v>
      </c>
      <c r="B1832">
        <v>2020</v>
      </c>
      <c r="C1832" s="1">
        <v>43988</v>
      </c>
      <c r="D1832" t="s">
        <v>25</v>
      </c>
      <c r="E1832">
        <v>1145954</v>
      </c>
      <c r="F1832">
        <v>10512479</v>
      </c>
      <c r="G1832">
        <v>10.9</v>
      </c>
    </row>
    <row r="1833" spans="1:7" x14ac:dyDescent="0.45">
      <c r="A1833" t="s">
        <v>14</v>
      </c>
      <c r="B1833">
        <v>2020</v>
      </c>
      <c r="C1833" s="1">
        <v>43988</v>
      </c>
      <c r="D1833" t="s">
        <v>25</v>
      </c>
      <c r="E1833">
        <v>253615</v>
      </c>
      <c r="F1833">
        <v>2371396</v>
      </c>
      <c r="G1833">
        <v>10.69</v>
      </c>
    </row>
    <row r="1834" spans="1:7" x14ac:dyDescent="0.45">
      <c r="A1834" t="s">
        <v>15</v>
      </c>
      <c r="B1834">
        <v>2020</v>
      </c>
      <c r="C1834" s="1">
        <v>43988</v>
      </c>
      <c r="D1834" t="s">
        <v>25</v>
      </c>
      <c r="E1834">
        <v>271886</v>
      </c>
      <c r="F1834">
        <v>3691561</v>
      </c>
      <c r="G1834">
        <v>7.37</v>
      </c>
    </row>
    <row r="1835" spans="1:7" x14ac:dyDescent="0.45">
      <c r="A1835" t="s">
        <v>17</v>
      </c>
      <c r="B1835">
        <v>2020</v>
      </c>
      <c r="C1835" s="1">
        <v>43988</v>
      </c>
      <c r="D1835" t="s">
        <v>25</v>
      </c>
      <c r="E1835">
        <v>465088</v>
      </c>
      <c r="F1835">
        <v>5862386</v>
      </c>
      <c r="G1835">
        <v>7.93</v>
      </c>
    </row>
    <row r="1836" spans="1:7" x14ac:dyDescent="0.45">
      <c r="A1836" t="s">
        <v>18</v>
      </c>
      <c r="B1836">
        <v>2020</v>
      </c>
      <c r="C1836" s="1">
        <v>43988</v>
      </c>
      <c r="D1836" t="s">
        <v>25</v>
      </c>
      <c r="E1836">
        <v>499493</v>
      </c>
      <c r="F1836">
        <v>5077875</v>
      </c>
      <c r="G1836">
        <v>9.84</v>
      </c>
    </row>
    <row r="1837" spans="1:7" x14ac:dyDescent="0.45">
      <c r="A1837" t="s">
        <v>19</v>
      </c>
      <c r="B1837">
        <v>2020</v>
      </c>
      <c r="C1837" s="1">
        <v>43988</v>
      </c>
      <c r="D1837" t="s">
        <v>25</v>
      </c>
      <c r="E1837">
        <v>94113</v>
      </c>
      <c r="F1837">
        <v>617880</v>
      </c>
      <c r="G1837">
        <v>15.23</v>
      </c>
    </row>
    <row r="1838" spans="1:7" x14ac:dyDescent="0.45">
      <c r="A1838" t="s">
        <v>24</v>
      </c>
      <c r="B1838">
        <v>2020</v>
      </c>
      <c r="C1838" s="1">
        <v>43988</v>
      </c>
      <c r="D1838" t="s">
        <v>25</v>
      </c>
      <c r="E1838">
        <v>358648</v>
      </c>
      <c r="F1838">
        <v>3547474</v>
      </c>
      <c r="G1838">
        <v>10.11</v>
      </c>
    </row>
    <row r="1839" spans="1:7" x14ac:dyDescent="0.45">
      <c r="A1839" t="s">
        <v>20</v>
      </c>
      <c r="B1839">
        <v>2020</v>
      </c>
      <c r="C1839" s="1">
        <v>43988</v>
      </c>
      <c r="D1839" t="s">
        <v>25</v>
      </c>
      <c r="E1839">
        <v>2803068</v>
      </c>
      <c r="F1839">
        <v>23257363</v>
      </c>
      <c r="G1839">
        <v>12.05</v>
      </c>
    </row>
  </sheetData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cleaned_alcohol_data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Witt</dc:creator>
  <cp:lastModifiedBy>Diane Witt</cp:lastModifiedBy>
  <dcterms:created xsi:type="dcterms:W3CDTF">2020-10-19T09:50:05Z</dcterms:created>
  <dcterms:modified xsi:type="dcterms:W3CDTF">2020-10-19T10:25:26Z</dcterms:modified>
</cp:coreProperties>
</file>